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isabe\Documents\Demografia_Proyecto_Final\data\xlsx\"/>
    </mc:Choice>
  </mc:AlternateContent>
  <bookViews>
    <workbookView xWindow="0" yWindow="0" windowWidth="20490" windowHeight="7650" activeTab="2"/>
  </bookViews>
  <sheets>
    <sheet name="2010" sheetId="3" r:id="rId1"/>
    <sheet name="2020" sheetId="1" r:id="rId2"/>
    <sheet name="2010 y 2020" sheetId="2" r:id="rId3"/>
  </sheets>
  <externalReferences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M6" i="2" l="1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5" i="2"/>
  <c r="B25" i="2" s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5" i="2"/>
  <c r="H9" i="3" l="1"/>
  <c r="G9" i="3"/>
  <c r="F9" i="3"/>
  <c r="C7" i="3"/>
  <c r="D7" i="3"/>
  <c r="B7" i="3"/>
  <c r="H9" i="1" l="1"/>
  <c r="G9" i="1"/>
  <c r="F9" i="1"/>
  <c r="B9" i="1"/>
  <c r="B8" i="1"/>
  <c r="H5" i="2"/>
  <c r="I5" i="2" l="1"/>
  <c r="M5" i="2" s="1"/>
  <c r="L2" i="2"/>
  <c r="I2" i="2"/>
  <c r="I1" i="2"/>
  <c r="D25" i="2"/>
  <c r="H26" i="3"/>
  <c r="G26" i="3"/>
  <c r="F26" i="3"/>
  <c r="H25" i="3"/>
  <c r="G25" i="3"/>
  <c r="F25" i="3"/>
  <c r="H24" i="3"/>
  <c r="G24" i="3"/>
  <c r="F24" i="3"/>
  <c r="H23" i="3"/>
  <c r="G23" i="3"/>
  <c r="F23" i="3"/>
  <c r="H22" i="3"/>
  <c r="G22" i="3"/>
  <c r="F22" i="3"/>
  <c r="H21" i="3"/>
  <c r="G21" i="3"/>
  <c r="F21" i="3"/>
  <c r="H20" i="3"/>
  <c r="G20" i="3"/>
  <c r="F20" i="3"/>
  <c r="H19" i="3"/>
  <c r="G19" i="3"/>
  <c r="F19" i="3"/>
  <c r="H18" i="3"/>
  <c r="G18" i="3"/>
  <c r="F18" i="3"/>
  <c r="H17" i="3"/>
  <c r="G17" i="3"/>
  <c r="F17" i="3"/>
  <c r="H16" i="3"/>
  <c r="G16" i="3"/>
  <c r="F16" i="3"/>
  <c r="H15" i="3"/>
  <c r="G15" i="3"/>
  <c r="F15" i="3"/>
  <c r="H14" i="3"/>
  <c r="G14" i="3"/>
  <c r="F14" i="3"/>
  <c r="H13" i="3"/>
  <c r="G13" i="3"/>
  <c r="F13" i="3"/>
  <c r="H12" i="3"/>
  <c r="G12" i="3"/>
  <c r="F12" i="3"/>
  <c r="H11" i="3"/>
  <c r="G11" i="3"/>
  <c r="F11" i="3"/>
  <c r="F7" i="3" s="1"/>
  <c r="H10" i="3"/>
  <c r="G10" i="3"/>
  <c r="F10" i="3"/>
  <c r="H8" i="3"/>
  <c r="G8" i="3"/>
  <c r="F8" i="3"/>
  <c r="H26" i="1"/>
  <c r="G26" i="1"/>
  <c r="F26" i="1"/>
  <c r="H25" i="1"/>
  <c r="G25" i="1"/>
  <c r="F25" i="1"/>
  <c r="H24" i="1"/>
  <c r="G24" i="1"/>
  <c r="F24" i="1"/>
  <c r="H23" i="1"/>
  <c r="G23" i="1"/>
  <c r="F23" i="1"/>
  <c r="H22" i="1"/>
  <c r="G22" i="1"/>
  <c r="F22" i="1"/>
  <c r="H21" i="1"/>
  <c r="G21" i="1"/>
  <c r="F21" i="1"/>
  <c r="H20" i="1"/>
  <c r="G20" i="1"/>
  <c r="F20" i="1"/>
  <c r="H19" i="1"/>
  <c r="G19" i="1"/>
  <c r="F19" i="1"/>
  <c r="H18" i="1"/>
  <c r="G18" i="1"/>
  <c r="F18" i="1"/>
  <c r="H17" i="1"/>
  <c r="G17" i="1"/>
  <c r="F17" i="1"/>
  <c r="H16" i="1"/>
  <c r="G16" i="1"/>
  <c r="F16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H8" i="1"/>
  <c r="G8" i="1"/>
  <c r="F8" i="1"/>
  <c r="H7" i="3" l="1"/>
  <c r="G7" i="3"/>
  <c r="F7" i="1"/>
  <c r="G7" i="1"/>
  <c r="H7" i="1"/>
</calcChain>
</file>

<file path=xl/sharedStrings.xml><?xml version="1.0" encoding="utf-8"?>
<sst xmlns="http://schemas.openxmlformats.org/spreadsheetml/2006/main" count="103" uniqueCount="44">
  <si>
    <t>Población total</t>
  </si>
  <si>
    <t>Entidad y municipio : Total</t>
  </si>
  <si>
    <t/>
  </si>
  <si>
    <t>Consulta de: Población total   Por: Edad   Según: Sexo</t>
  </si>
  <si>
    <t>Total</t>
  </si>
  <si>
    <t>Hombres</t>
  </si>
  <si>
    <t>Mujeres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</si>
  <si>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</si>
  <si>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</si>
  <si>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</si>
  <si>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</si>
  <si>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</si>
  <si>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</si>
  <si>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</si>
  <si>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</si>
  <si>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</si>
  <si>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</si>
  <si>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</si>
  <si>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</si>
  <si>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</si>
  <si>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</si>
  <si>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</si>
  <si>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</si>
  <si>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85 años y más</t>
  </si>
  <si>
    <t>No especificado</t>
  </si>
  <si>
    <t>FUENTE: INEGI. Censo de Población y Vivienda 2020. Cuestionario Básico.</t>
  </si>
  <si>
    <t>Consulta de: Población total con estimación   Por: Edad   Según: Sexo</t>
  </si>
  <si>
    <t>Prorrateo</t>
  </si>
  <si>
    <t>Hombre</t>
  </si>
  <si>
    <t>Mujer</t>
  </si>
  <si>
    <t>85 y más años</t>
  </si>
  <si>
    <t>FUENTE: INEGI. Censo de Población y Vivienda 2010.</t>
  </si>
  <si>
    <t>Censo 2010</t>
  </si>
  <si>
    <t>Censo 2020</t>
  </si>
  <si>
    <t>15/03/2020</t>
  </si>
  <si>
    <t>Delta</t>
  </si>
  <si>
    <t>r</t>
  </si>
  <si>
    <t>APV</t>
  </si>
  <si>
    <t>Valores Prorateados</t>
  </si>
  <si>
    <t>De 0 a 1 año</t>
  </si>
  <si>
    <t>De 1 a 4 años</t>
  </si>
  <si>
    <t>De 1  a 4 años</t>
  </si>
  <si>
    <t>Año Calculo</t>
  </si>
  <si>
    <t>Para cambiar el valor del año de calculo, se debe cambiar el valor reg en el documento TasasMortalidad-Demografia-GHJZ-LVSK.xlsx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</si>
</sst>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"/>
  </numFmts>
  <fonts count="4">
    <font>
      <sz val="11"/>
      <name val="Calibri"/>
    </font>
    <font>
      <sz val="11"/>
      <name val="Calibri"/>
      <family val="2"/>
    </font>
    <font>
      <sz val="10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6">
    <xf numFmtId="0" fontId="0" fillId="0" borderId="0" xfId="0"/>
    <xf numFmtId="0" fontId="1" fillId="0" borderId="0" xfId="2"/>
    <xf numFmtId="164" fontId="1" fillId="0" borderId="0" xfId="2" applyNumberFormat="1" applyAlignment="1">
      <alignment horizontal="left" vertical="top"/>
    </xf>
    <xf numFmtId="164" fontId="1" fillId="2" borderId="0" xfId="2" applyNumberFormat="1" applyFill="1" applyAlignment="1">
      <alignment horizontal="left" vertical="top"/>
    </xf>
    <xf numFmtId="1" fontId="0" fillId="0" borderId="0" xfId="0" applyNumberFormat="1"/>
    <xf numFmtId="0" fontId="1" fillId="0" borderId="0" xfId="0" applyFont="1"/>
    <xf numFmtId="14" fontId="0" fillId="0" borderId="0" xfId="0" applyNumberFormat="1"/>
    <xf numFmtId="164" fontId="1" fillId="0" borderId="0" xfId="2" applyNumberFormat="1" applyFill="1" applyAlignment="1">
      <alignment horizontal="left" vertical="top"/>
    </xf>
    <xf numFmtId="10" fontId="0" fillId="0" borderId="0" xfId="1" applyNumberFormat="1" applyFont="1"/>
    <xf numFmtId="1" fontId="0" fillId="0" borderId="0" xfId="0" applyNumberFormat="1" applyFont="1" applyAlignment="1" applyProtection="1">
      <alignment horizontal="left" vertical="top"/>
    </xf>
    <xf numFmtId="0" fontId="0" fillId="0" borderId="0" xfId="0" applyNumberFormat="1" applyFont="1" applyProtection="1"/>
    <xf numFmtId="164" fontId="0" fillId="0" borderId="0" xfId="0" applyNumberFormat="1" applyFont="1" applyAlignment="1" applyProtection="1">
      <alignment horizontal="left" vertical="top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NumberFormat="1" applyFont="1" applyAlignment="1" applyProtection="1">
      <alignment horizontal="left"/>
    </xf>
    <xf numFmtId="164" fontId="2" fillId="0" borderId="0" xfId="0" applyNumberFormat="1" applyFont="1" applyAlignment="1" applyProtection="1">
      <alignment horizontal="left"/>
    </xf>
    <xf numFmtId="1" fontId="2" fillId="0" borderId="0" xfId="0" applyNumberFormat="1" applyFont="1" applyAlignment="1" applyProtection="1">
      <alignment horizontal="left"/>
    </xf>
    <xf numFmtId="0" fontId="2" fillId="0" borderId="0" xfId="0" applyNumberFormat="1" applyFont="1" applyAlignment="1" applyProtection="1">
      <alignment horizontal="left" wrapText="1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>
      <alignment horizontal="left"/>
    </xf>
    <xf numFmtId="0" fontId="1" fillId="0" borderId="0" xfId="2" applyAlignment="1">
      <alignment wrapText="1"/>
    </xf>
    <xf numFmtId="1" fontId="1" fillId="0" borderId="0" xfId="2" applyNumberFormat="1" applyAlignment="1">
      <alignment wrapText="1"/>
    </xf>
    <xf numFmtId="0" fontId="1" fillId="0" borderId="0" xfId="2" applyAlignment="1">
      <alignment horizont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</cellXfs>
  <cellStyles count="3">
    <cellStyle name="Normal" xfId="0" builtinId="0"/>
    <cellStyle name="Normal 2" xfId="2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Tasas de crecimiento (r)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 y 2020'!$H$4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'2010 y 2020'!$A$5:$A$23</c:f>
              <c:strCache>
                <c:ptCount val="19"/>
                <c:pt idx="0">
                  <c:v>De 0 a 1 año</c:v>
                </c:pt>
                <c:pt idx="1">
                  <c:v>De 1 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'2010 y 2020'!$H$5:$H$23</c:f>
              <c:numCache>
                <c:formatCode>0.00%</c:formatCode>
                <c:ptCount val="19"/>
                <c:pt idx="0">
                  <c:v>-1.9269450587695192E-2</c:v>
                </c:pt>
                <c:pt idx="1">
                  <c:v>-1.2284010895703525E-2</c:v>
                </c:pt>
                <c:pt idx="2">
                  <c:v>-8.7179740064708706E-3</c:v>
                </c:pt>
                <c:pt idx="3">
                  <c:v>1.0492395431739692E-5</c:v>
                </c:pt>
                <c:pt idx="4">
                  <c:v>-8.1690062689100196E-4</c:v>
                </c:pt>
                <c:pt idx="5">
                  <c:v>6.8160425747756832E-3</c:v>
                </c:pt>
                <c:pt idx="6">
                  <c:v>1.3098618251926594E-2</c:v>
                </c:pt>
                <c:pt idx="7">
                  <c:v>6.1157880816866371E-3</c:v>
                </c:pt>
                <c:pt idx="8">
                  <c:v>-1.260345653382194E-3</c:v>
                </c:pt>
                <c:pt idx="9">
                  <c:v>9.6488424623048363E-3</c:v>
                </c:pt>
                <c:pt idx="10">
                  <c:v>2.9965000919788546E-2</c:v>
                </c:pt>
                <c:pt idx="11">
                  <c:v>3.8219341491046006E-2</c:v>
                </c:pt>
                <c:pt idx="12">
                  <c:v>4.5596201757998917E-2</c:v>
                </c:pt>
                <c:pt idx="13">
                  <c:v>4.2870890459720284E-2</c:v>
                </c:pt>
                <c:pt idx="14">
                  <c:v>3.4406549048751588E-2</c:v>
                </c:pt>
                <c:pt idx="15">
                  <c:v>2.4010322221764479E-2</c:v>
                </c:pt>
                <c:pt idx="16">
                  <c:v>3.2877069891396646E-2</c:v>
                </c:pt>
                <c:pt idx="17">
                  <c:v>3.944754494799263E-2</c:v>
                </c:pt>
                <c:pt idx="18">
                  <c:v>3.6858543378772729E-2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39-C048-92C9-A4BF5A26D081}"/>
            </c:ext>
          </c:extLst>
        </c:ser>
        <c:ser>
          <c:idx val="1"/>
          <c:order val="1"/>
          <c:tx>
            <c:strRef>
              <c:f>'2010 y 2020'!$I$4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'2010 y 2020'!$A$5:$A$23</c:f>
              <c:strCache>
                <c:ptCount val="19"/>
                <c:pt idx="0">
                  <c:v>De 0 a 1 año</c:v>
                </c:pt>
                <c:pt idx="1">
                  <c:v>De 1  a 4 años</c:v>
                </c:pt>
                <c:pt idx="2">
                  <c:v>De 5 a 9 años</c:v>
                </c:pt>
                <c:pt idx="3">
                  <c:v>De 10 a 14 años</c:v>
                </c:pt>
                <c:pt idx="4">
                  <c:v>De 15 a 19 años</c:v>
                </c:pt>
                <c:pt idx="5">
                  <c:v>De 20 a 24 años</c:v>
                </c:pt>
                <c:pt idx="6">
                  <c:v>De 25 a 29 años</c:v>
                </c:pt>
                <c:pt idx="7">
                  <c:v>De 30 a 34 años</c:v>
                </c:pt>
                <c:pt idx="8">
                  <c:v>De 35 a 39 años</c:v>
                </c:pt>
                <c:pt idx="9">
                  <c:v>De 40 a 44 años</c:v>
                </c:pt>
                <c:pt idx="10">
                  <c:v>De 45 a 49 años</c:v>
                </c:pt>
                <c:pt idx="11">
                  <c:v>De 50 a 54 años</c:v>
                </c:pt>
                <c:pt idx="12">
                  <c:v>De 55 a 59 años</c:v>
                </c:pt>
                <c:pt idx="13">
                  <c:v>De 60 a 64 años</c:v>
                </c:pt>
                <c:pt idx="14">
                  <c:v>De 65 a 69 años</c:v>
                </c:pt>
                <c:pt idx="15">
                  <c:v>De 70 a 74 años</c:v>
                </c:pt>
                <c:pt idx="16">
                  <c:v>De 75 a 79 años</c:v>
                </c:pt>
                <c:pt idx="17">
                  <c:v>De 80 a 84 años</c:v>
                </c:pt>
                <c:pt idx="18">
                  <c:v>85 y más años</c:v>
                </c:pt>
              </c:strCache>
            </c:strRef>
          </c:cat>
          <c:val>
            <c:numRef>
              <c:f>'2010 y 2020'!$I$5:$I$23</c:f>
              <c:numCache>
                <c:formatCode>0.00%</c:formatCode>
                <c:ptCount val="19"/>
                <c:pt idx="0">
                  <c:v>-1.9230809537921788E-2</c:v>
                </c:pt>
                <c:pt idx="1">
                  <c:v>-1.2108182534119449E-2</c:v>
                </c:pt>
                <c:pt idx="2">
                  <c:v>-8.33440759822064E-3</c:v>
                </c:pt>
                <c:pt idx="3">
                  <c:v>-2.8595143810167543E-4</c:v>
                </c:pt>
                <c:pt idx="4">
                  <c:v>-2.3939213001183865E-3</c:v>
                </c:pt>
                <c:pt idx="5">
                  <c:v>6.5545843830928704E-3</c:v>
                </c:pt>
                <c:pt idx="6">
                  <c:v>1.3108745675999747E-2</c:v>
                </c:pt>
                <c:pt idx="7">
                  <c:v>6.91343494081555E-3</c:v>
                </c:pt>
                <c:pt idx="8">
                  <c:v>-1.7445841431056868E-3</c:v>
                </c:pt>
                <c:pt idx="9">
                  <c:v>9.7110127090477665E-3</c:v>
                </c:pt>
                <c:pt idx="10">
                  <c:v>2.6734612530852447E-2</c:v>
                </c:pt>
                <c:pt idx="11">
                  <c:v>3.5652594324241539E-2</c:v>
                </c:pt>
                <c:pt idx="12">
                  <c:v>4.4701997024539565E-2</c:v>
                </c:pt>
                <c:pt idx="13">
                  <c:v>4.4021103990284451E-2</c:v>
                </c:pt>
                <c:pt idx="14">
                  <c:v>3.8033506995284252E-2</c:v>
                </c:pt>
                <c:pt idx="15">
                  <c:v>3.2649148191722266E-2</c:v>
                </c:pt>
                <c:pt idx="16">
                  <c:v>3.8726881322171211E-2</c:v>
                </c:pt>
                <c:pt idx="17">
                  <c:v>3.9884176707655518E-2</c:v>
                </c:pt>
                <c:pt idx="18">
                  <c:v>4.0255258919604416E-2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39-C048-92C9-A4BF5A26D0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0234384"/>
        <c:axId val="814807855"/>
      </c:lineChart>
      <c:catAx>
        <c:axId val="560234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814807855"/>
        <c:crosses val="autoZero"/>
        <c:auto val="1"/>
        <c:lblAlgn val="ctr"/>
        <c:lblOffset val="100"/>
        <c:noMultiLvlLbl val="0"/>
      </c:catAx>
      <c:valAx>
        <c:axId val="81480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60234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82550</xdr:colOff>
      <xdr:row>4</xdr:row>
      <xdr:rowOff>57150</xdr:rowOff>
    </xdr:from>
    <xdr:to>
      <xdr:col>20</xdr:col>
      <xdr:colOff>609600</xdr:colOff>
      <xdr:row>22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E6712-D47B-1ABD-354B-D5A439E777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sasMortalidad-Demografia-GHJZ-LVS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sas"/>
    </sheetNames>
    <sheetDataSet>
      <sheetData sheetId="0">
        <row r="2">
          <cell r="AG2" t="str">
            <v>2021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topLeftCell="A7" zoomScale="150" workbookViewId="0">
      <selection activeCell="I8" sqref="I8"/>
    </sheetView>
  </sheetViews>
  <sheetFormatPr baseColWidth="10" defaultColWidth="8.85546875" defaultRowHeight="15"/>
  <cols>
    <col min="1" max="1" width="23" style="1" customWidth="1"/>
    <col min="2" max="4" width="8.28515625" style="1" customWidth="1"/>
    <col min="5" max="5" width="9.140625" style="1" customWidth="1"/>
    <col min="6" max="8" width="8.28515625" style="1" customWidth="1"/>
    <col min="9" max="16384" width="8.85546875" style="1"/>
  </cols>
  <sheetData>
    <row r="1" spans="1:8">
      <c r="A1" s="20" t="s">
        <v>0</v>
      </c>
      <c r="B1" s="20"/>
      <c r="C1" s="20"/>
      <c r="D1" s="20"/>
      <c r="E1" s="20"/>
      <c r="F1" s="20"/>
      <c r="G1" s="20"/>
      <c r="H1" s="20"/>
    </row>
    <row r="2" spans="1:8" ht="30">
      <c r="A2" s="20" t="s">
        <v>1</v>
      </c>
      <c r="B2" s="20"/>
      <c r="C2" s="20"/>
      <c r="D2" s="20"/>
      <c r="E2" s="20"/>
      <c r="F2" s="20"/>
      <c r="G2" s="20"/>
      <c r="H2" s="20"/>
    </row>
    <row r="3" spans="1:8">
      <c r="A3" s="20" t="s">
        <v>2</v>
      </c>
      <c r="B3" s="20"/>
      <c r="C3" s="20"/>
      <c r="D3" s="20"/>
      <c r="E3" s="20"/>
      <c r="F3" s="20"/>
      <c r="G3" s="20"/>
      <c r="H3" s="20"/>
    </row>
    <row r="4" spans="1:8" ht="45">
      <c r="A4" s="20" t="s">
        <v>26</v>
      </c>
      <c r="B4" s="20"/>
      <c r="C4" s="20"/>
      <c r="D4" s="20"/>
      <c r="E4" s="20"/>
      <c r="F4" s="20"/>
      <c r="G4" s="20"/>
      <c r="H4" s="20"/>
    </row>
    <row r="5" spans="1:8">
      <c r="A5" s="20"/>
      <c r="B5" s="20"/>
      <c r="C5" s="20"/>
      <c r="D5" s="20"/>
      <c r="E5" s="20"/>
      <c r="F5" s="22" t="s">
        <v>27</v>
      </c>
      <c r="G5" s="22"/>
      <c r="H5" s="22"/>
    </row>
    <row r="6" spans="1:8">
      <c r="A6" s="20" t="s">
        <v>2</v>
      </c>
      <c r="B6" s="20" t="s">
        <v>4</v>
      </c>
      <c r="C6" s="20" t="s">
        <v>28</v>
      </c>
      <c r="D6" s="20" t="s">
        <v>29</v>
      </c>
      <c r="E6" s="20"/>
      <c r="F6" s="20" t="s">
        <v>4</v>
      </c>
      <c r="G6" s="20" t="s">
        <v>28</v>
      </c>
      <c r="H6" s="20" t="s">
        <v>29</v>
      </c>
    </row>
    <row r="7" spans="1:8">
      <c r="A7" s="20" t="s">
        <v>4</v>
      </c>
      <c r="B7" s="20">
        <f>SUM(B8:B27)</f>
        <v>3406465</v>
      </c>
      <c r="C7" s="20">
        <f t="shared" ref="C7:D7" si="0">SUM(C8:C27)</f>
        <v>1692545</v>
      </c>
      <c r="D7" s="20">
        <f t="shared" si="0"/>
        <v>1713920</v>
      </c>
      <c r="E7" s="20"/>
      <c r="F7" s="21">
        <f>SUM(F8:F26)</f>
        <v>3406465</v>
      </c>
      <c r="G7" s="21">
        <f>SUM(G8:G26)</f>
        <v>1692545</v>
      </c>
      <c r="H7" s="21">
        <f>SUM(H8:H26)</f>
        <v>1713920</v>
      </c>
    </row>
    <row r="8" spans="1:8">
      <c r="A8" s="20" t="s">
        <v>39</v>
      </c>
      <c r="B8" s="20">
        <v>58569</v>
      </c>
      <c r="C8" s="20">
        <v>29688</v>
      </c>
      <c r="D8" s="20">
        <v>28881</v>
      </c>
      <c r="E8" s="20"/>
      <c r="F8" s="21">
        <f t="shared" ref="F8:H9" si="1">B8+(B8/SUM(B$8:B$26)*B$27)</f>
        <v>60405.019364654057</v>
      </c>
      <c r="G8" s="21">
        <f t="shared" si="1"/>
        <v>30624.720610687022</v>
      </c>
      <c r="H8" s="21">
        <f t="shared" si="1"/>
        <v>29780.539373702733</v>
      </c>
    </row>
    <row r="9" spans="1:8">
      <c r="A9" s="20" t="s">
        <v>40</v>
      </c>
      <c r="B9" s="20">
        <v>264107</v>
      </c>
      <c r="C9" s="20">
        <v>133919</v>
      </c>
      <c r="D9" s="20">
        <v>130188</v>
      </c>
      <c r="E9" s="20"/>
      <c r="F9" s="21">
        <f t="shared" si="1"/>
        <v>272386.21880757209</v>
      </c>
      <c r="G9" s="21">
        <f t="shared" si="1"/>
        <v>138144.4340966921</v>
      </c>
      <c r="H9" s="21">
        <f t="shared" si="1"/>
        <v>134242.88840357368</v>
      </c>
    </row>
    <row r="10" spans="1:8">
      <c r="A10" s="20" t="s">
        <v>7</v>
      </c>
      <c r="B10" s="20">
        <v>335064</v>
      </c>
      <c r="C10" s="20">
        <v>170477</v>
      </c>
      <c r="D10" s="20">
        <v>164587</v>
      </c>
      <c r="E10" s="20"/>
      <c r="F10" s="21">
        <f t="shared" ref="F10:F26" si="2">B10+(B10/SUM(B$8:B$26)*B$27)</f>
        <v>345567.576847794</v>
      </c>
      <c r="G10" s="21">
        <f t="shared" ref="G10:G26" si="3">C10+(C10/SUM(C$8:C$26)*C$27)</f>
        <v>175855.91806615776</v>
      </c>
      <c r="H10" s="21">
        <f t="shared" ref="H10:H26" si="4">D10+(D10/SUM(D$8:D$26)*D$27)</f>
        <v>169713.29364979092</v>
      </c>
    </row>
    <row r="11" spans="1:8">
      <c r="A11" s="20" t="s">
        <v>8</v>
      </c>
      <c r="B11" s="20">
        <v>324661</v>
      </c>
      <c r="C11" s="20">
        <v>164749</v>
      </c>
      <c r="D11" s="20">
        <v>159912</v>
      </c>
      <c r="E11" s="20"/>
      <c r="F11" s="21">
        <f t="shared" si="2"/>
        <v>334838.46389639488</v>
      </c>
      <c r="G11" s="21">
        <f t="shared" si="3"/>
        <v>169947.18727735369</v>
      </c>
      <c r="H11" s="21">
        <f t="shared" si="4"/>
        <v>164892.68419817707</v>
      </c>
    </row>
    <row r="12" spans="1:8">
      <c r="A12" s="20" t="s">
        <v>9</v>
      </c>
      <c r="B12" s="20">
        <v>322034</v>
      </c>
      <c r="C12" s="20">
        <v>162488</v>
      </c>
      <c r="D12" s="20">
        <v>159546</v>
      </c>
      <c r="E12" s="20"/>
      <c r="F12" s="21">
        <f t="shared" si="2"/>
        <v>332129.11277428339</v>
      </c>
      <c r="G12" s="21">
        <f t="shared" si="3"/>
        <v>167614.84783715013</v>
      </c>
      <c r="H12" s="21">
        <f t="shared" si="4"/>
        <v>164515.28461330204</v>
      </c>
    </row>
    <row r="13" spans="1:8">
      <c r="A13" s="20" t="s">
        <v>10</v>
      </c>
      <c r="B13" s="20">
        <v>285872</v>
      </c>
      <c r="C13" s="20">
        <v>142953</v>
      </c>
      <c r="D13" s="20">
        <v>142919</v>
      </c>
      <c r="E13" s="20"/>
      <c r="F13" s="21">
        <f t="shared" si="2"/>
        <v>294833.50741539698</v>
      </c>
      <c r="G13" s="21">
        <f t="shared" si="3"/>
        <v>147463.47633587787</v>
      </c>
      <c r="H13" s="21">
        <f t="shared" si="4"/>
        <v>147370.41330806486</v>
      </c>
    </row>
    <row r="14" spans="1:8">
      <c r="A14" s="20" t="s">
        <v>11</v>
      </c>
      <c r="B14" s="20">
        <v>255036</v>
      </c>
      <c r="C14" s="20">
        <v>126385</v>
      </c>
      <c r="D14" s="20">
        <v>128651</v>
      </c>
      <c r="E14" s="20"/>
      <c r="F14" s="21">
        <f t="shared" si="2"/>
        <v>263030.86135470832</v>
      </c>
      <c r="G14" s="21">
        <f t="shared" si="3"/>
        <v>130372.72010178117</v>
      </c>
      <c r="H14" s="21">
        <f t="shared" si="4"/>
        <v>132658.01637637999</v>
      </c>
    </row>
    <row r="15" spans="1:8">
      <c r="A15" s="20" t="s">
        <v>12</v>
      </c>
      <c r="B15" s="20">
        <v>251304</v>
      </c>
      <c r="C15" s="20">
        <v>124137</v>
      </c>
      <c r="D15" s="20">
        <v>127167</v>
      </c>
      <c r="E15" s="20"/>
      <c r="F15" s="21">
        <f t="shared" si="2"/>
        <v>259181.87072367675</v>
      </c>
      <c r="G15" s="21">
        <f t="shared" si="3"/>
        <v>128053.79083969466</v>
      </c>
      <c r="H15" s="21">
        <f t="shared" si="4"/>
        <v>131127.7951087447</v>
      </c>
    </row>
    <row r="16" spans="1:8">
      <c r="A16" s="20" t="s">
        <v>13</v>
      </c>
      <c r="B16" s="20">
        <v>259968</v>
      </c>
      <c r="C16" s="20">
        <v>128448</v>
      </c>
      <c r="D16" s="20">
        <v>131520</v>
      </c>
      <c r="E16" s="20"/>
      <c r="F16" s="21">
        <f t="shared" si="2"/>
        <v>268117.469551988</v>
      </c>
      <c r="G16" s="21">
        <f t="shared" si="3"/>
        <v>132500.81221374046</v>
      </c>
      <c r="H16" s="21">
        <f t="shared" si="4"/>
        <v>135616.37541738112</v>
      </c>
    </row>
    <row r="17" spans="1:8">
      <c r="A17" s="20" t="s">
        <v>14</v>
      </c>
      <c r="B17" s="20">
        <v>222756</v>
      </c>
      <c r="C17" s="20">
        <v>109944</v>
      </c>
      <c r="D17" s="20">
        <v>112812</v>
      </c>
      <c r="E17" s="20"/>
      <c r="F17" s="21">
        <f t="shared" si="2"/>
        <v>229738.94882263447</v>
      </c>
      <c r="G17" s="21">
        <f t="shared" si="3"/>
        <v>113412.9709923664</v>
      </c>
      <c r="H17" s="21">
        <f t="shared" si="4"/>
        <v>116325.6884396715</v>
      </c>
    </row>
    <row r="18" spans="1:8">
      <c r="A18" s="20" t="s">
        <v>15</v>
      </c>
      <c r="B18" s="20">
        <v>183153</v>
      </c>
      <c r="C18" s="20">
        <v>89363</v>
      </c>
      <c r="D18" s="20">
        <v>93790</v>
      </c>
      <c r="E18" s="20"/>
      <c r="F18" s="21">
        <f t="shared" si="2"/>
        <v>188894.47509253162</v>
      </c>
      <c r="G18" s="21">
        <f t="shared" si="3"/>
        <v>92182.595928753188</v>
      </c>
      <c r="H18" s="21">
        <f t="shared" si="4"/>
        <v>96711.221490238546</v>
      </c>
    </row>
    <row r="19" spans="1:8">
      <c r="A19" s="20" t="s">
        <v>16</v>
      </c>
      <c r="B19" s="20">
        <v>149069</v>
      </c>
      <c r="C19" s="20">
        <v>71988</v>
      </c>
      <c r="D19" s="20">
        <v>77081</v>
      </c>
      <c r="E19" s="20"/>
      <c r="F19" s="21">
        <f t="shared" si="2"/>
        <v>153742.01081919813</v>
      </c>
      <c r="G19" s="21">
        <f t="shared" si="3"/>
        <v>74259.377099236648</v>
      </c>
      <c r="H19" s="21">
        <f t="shared" si="4"/>
        <v>79481.796179646844</v>
      </c>
    </row>
    <row r="20" spans="1:8">
      <c r="A20" s="20" t="s">
        <v>17</v>
      </c>
      <c r="B20" s="20">
        <v>108607</v>
      </c>
      <c r="C20" s="20">
        <v>52311</v>
      </c>
      <c r="D20" s="20">
        <v>56296</v>
      </c>
      <c r="E20" s="20"/>
      <c r="F20" s="21">
        <f t="shared" si="2"/>
        <v>112011.609181256</v>
      </c>
      <c r="G20" s="21">
        <f t="shared" si="3"/>
        <v>53961.525190839697</v>
      </c>
      <c r="H20" s="21">
        <f t="shared" si="4"/>
        <v>58049.418115091896</v>
      </c>
    </row>
    <row r="21" spans="1:8">
      <c r="A21" s="20" t="s">
        <v>18</v>
      </c>
      <c r="B21" s="20">
        <v>89542</v>
      </c>
      <c r="C21" s="20">
        <v>42534</v>
      </c>
      <c r="D21" s="20">
        <v>47008</v>
      </c>
      <c r="E21" s="20"/>
      <c r="F21" s="21">
        <f t="shared" si="2"/>
        <v>92348.96009748934</v>
      </c>
      <c r="G21" s="21">
        <f t="shared" si="3"/>
        <v>43876.039694656487</v>
      </c>
      <c r="H21" s="21">
        <f t="shared" si="4"/>
        <v>48472.130289083419</v>
      </c>
    </row>
    <row r="22" spans="1:8">
      <c r="A22" s="20" t="s">
        <v>19</v>
      </c>
      <c r="B22" s="20">
        <v>68809</v>
      </c>
      <c r="C22" s="20">
        <v>32811</v>
      </c>
      <c r="D22" s="20">
        <v>35998</v>
      </c>
      <c r="E22" s="20"/>
      <c r="F22" s="21">
        <f t="shared" si="2"/>
        <v>70966.022596637835</v>
      </c>
      <c r="G22" s="21">
        <f t="shared" si="3"/>
        <v>33846.258015267173</v>
      </c>
      <c r="H22" s="21">
        <f t="shared" si="4"/>
        <v>37119.208350630208</v>
      </c>
    </row>
    <row r="23" spans="1:8">
      <c r="A23" s="20" t="s">
        <v>20</v>
      </c>
      <c r="B23" s="20">
        <v>54419</v>
      </c>
      <c r="C23" s="20">
        <v>26273</v>
      </c>
      <c r="D23" s="20">
        <v>28146</v>
      </c>
      <c r="E23" s="20"/>
      <c r="F23" s="21">
        <f t="shared" si="2"/>
        <v>56124.925281379386</v>
      </c>
      <c r="G23" s="21">
        <f t="shared" si="3"/>
        <v>27101.969974554708</v>
      </c>
      <c r="H23" s="21">
        <f t="shared" si="4"/>
        <v>29022.646764732424</v>
      </c>
    </row>
    <row r="24" spans="1:8">
      <c r="A24" s="20" t="s">
        <v>21</v>
      </c>
      <c r="B24" s="20">
        <v>34386</v>
      </c>
      <c r="C24" s="20">
        <v>16544</v>
      </c>
      <c r="D24" s="20">
        <v>17842</v>
      </c>
      <c r="E24" s="20"/>
      <c r="F24" s="21">
        <f t="shared" si="2"/>
        <v>35463.931360839255</v>
      </c>
      <c r="G24" s="21">
        <f t="shared" si="3"/>
        <v>17065.998982188295</v>
      </c>
      <c r="H24" s="21">
        <f t="shared" si="4"/>
        <v>18397.714189453418</v>
      </c>
    </row>
    <row r="25" spans="1:8">
      <c r="A25" s="20" t="s">
        <v>22</v>
      </c>
      <c r="B25" s="20">
        <v>20704</v>
      </c>
      <c r="C25" s="20">
        <v>9435</v>
      </c>
      <c r="D25" s="20">
        <v>11269</v>
      </c>
      <c r="E25" s="20"/>
      <c r="F25" s="21">
        <f t="shared" si="2"/>
        <v>21353.028409667189</v>
      </c>
      <c r="G25" s="21">
        <f t="shared" si="3"/>
        <v>9732.6946564885493</v>
      </c>
      <c r="H25" s="21">
        <f t="shared" si="4"/>
        <v>11619.98885780465</v>
      </c>
    </row>
    <row r="26" spans="1:8">
      <c r="A26" s="20" t="s">
        <v>30</v>
      </c>
      <c r="B26" s="20">
        <v>14865</v>
      </c>
      <c r="C26" s="20">
        <v>6328</v>
      </c>
      <c r="D26" s="20">
        <v>8537</v>
      </c>
      <c r="E26" s="20"/>
      <c r="F26" s="21">
        <f t="shared" si="2"/>
        <v>15330.987601898318</v>
      </c>
      <c r="G26" s="21">
        <f t="shared" si="3"/>
        <v>6527.6620865139948</v>
      </c>
      <c r="H26" s="21">
        <f t="shared" si="4"/>
        <v>8802.8968745299753</v>
      </c>
    </row>
    <row r="27" spans="1:8">
      <c r="A27" s="20" t="s">
        <v>24</v>
      </c>
      <c r="B27" s="20">
        <v>103540</v>
      </c>
      <c r="C27" s="20">
        <v>51770</v>
      </c>
      <c r="D27" s="20">
        <v>51770</v>
      </c>
      <c r="E27" s="20"/>
      <c r="F27" s="20"/>
      <c r="G27" s="20"/>
      <c r="H27" s="20"/>
    </row>
    <row r="28" spans="1:8">
      <c r="A28" s="20"/>
      <c r="B28" s="20"/>
      <c r="C28" s="20"/>
      <c r="D28" s="20"/>
      <c r="E28" s="20"/>
      <c r="F28" s="20"/>
      <c r="G28" s="20"/>
      <c r="H28" s="20"/>
    </row>
    <row r="29" spans="1:8">
      <c r="A29" s="20"/>
      <c r="B29" s="20"/>
      <c r="C29" s="20"/>
      <c r="D29" s="20"/>
      <c r="E29" s="20"/>
      <c r="F29" s="20"/>
      <c r="G29" s="20"/>
      <c r="H29" s="20"/>
    </row>
    <row r="30" spans="1:8">
      <c r="A30" s="20"/>
      <c r="B30" s="20"/>
      <c r="C30" s="20"/>
      <c r="D30" s="20"/>
      <c r="E30" s="20"/>
      <c r="F30" s="20"/>
      <c r="G30" s="20"/>
      <c r="H30" s="20"/>
    </row>
    <row r="31" spans="1:8" ht="45">
      <c r="A31" s="20" t="s">
        <v>31</v>
      </c>
      <c r="B31" s="20"/>
      <c r="C31" s="20"/>
      <c r="D31" s="20"/>
      <c r="E31" s="20"/>
      <c r="F31" s="20"/>
      <c r="G31" s="20"/>
      <c r="H31" s="20"/>
    </row>
    <row r="32" spans="1:8">
      <c r="B32" s="2"/>
      <c r="C32" s="2"/>
      <c r="D32" s="2"/>
      <c r="E32" s="2"/>
    </row>
  </sheetData>
  <mergeCells count="1">
    <mergeCell ref="F5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zoomScale="137" workbookViewId="0">
      <selection activeCell="F5" sqref="F5:H5"/>
    </sheetView>
  </sheetViews>
  <sheetFormatPr baseColWidth="10" defaultColWidth="8.85546875" defaultRowHeight="15"/>
  <cols>
    <col min="1" max="1" width="15.42578125" customWidth="1"/>
    <col min="2" max="4" width="8" customWidth="1"/>
    <col min="5" max="5" width="9.140625" customWidth="1"/>
    <col min="6" max="8" width="8" customWidth="1"/>
  </cols>
  <sheetData>
    <row r="1" spans="1:8">
      <c r="A1" s="18" t="s">
        <v>0</v>
      </c>
      <c r="B1" s="13"/>
      <c r="C1" s="13"/>
      <c r="D1" s="13"/>
      <c r="E1" s="13"/>
      <c r="F1" s="12"/>
      <c r="G1" s="12"/>
      <c r="H1" s="12"/>
    </row>
    <row r="2" spans="1:8" ht="26.25">
      <c r="A2" s="18" t="s">
        <v>1</v>
      </c>
      <c r="B2" s="13"/>
      <c r="C2" s="13"/>
      <c r="D2" s="13"/>
      <c r="E2" s="13"/>
      <c r="F2" s="12"/>
      <c r="G2" s="12"/>
      <c r="H2" s="12"/>
    </row>
    <row r="3" spans="1:8">
      <c r="A3" s="12" t="s">
        <v>2</v>
      </c>
      <c r="B3" s="13"/>
      <c r="C3" s="13"/>
      <c r="D3" s="13"/>
      <c r="E3" s="13"/>
      <c r="F3" s="12"/>
      <c r="G3" s="12"/>
      <c r="H3" s="12"/>
    </row>
    <row r="4" spans="1:8" ht="51.75">
      <c r="A4" s="18" t="s">
        <v>3</v>
      </c>
      <c r="B4" s="13"/>
      <c r="C4" s="13"/>
      <c r="D4" s="13"/>
      <c r="E4" s="13"/>
      <c r="F4" s="23" t="s">
        <v>38</v>
      </c>
      <c r="G4" s="23"/>
      <c r="H4" s="23"/>
    </row>
    <row r="5" spans="1:8">
      <c r="A5" s="14"/>
      <c r="B5" s="15"/>
      <c r="C5" s="15"/>
      <c r="D5" s="15"/>
      <c r="E5" s="15"/>
      <c r="F5" s="23">
        <v>2020</v>
      </c>
      <c r="G5" s="23"/>
      <c r="H5" s="23"/>
    </row>
    <row r="6" spans="1:8">
      <c r="A6" s="14" t="s">
        <v>2</v>
      </c>
      <c r="B6" s="15" t="s">
        <v>4</v>
      </c>
      <c r="C6" s="15" t="s">
        <v>5</v>
      </c>
      <c r="D6" s="15" t="s">
        <v>6</v>
      </c>
      <c r="E6" s="15"/>
      <c r="F6" s="13" t="s">
        <v>4</v>
      </c>
      <c r="G6" s="13" t="s">
        <v>5</v>
      </c>
      <c r="H6" s="13" t="s">
        <v>6</v>
      </c>
    </row>
    <row r="7" spans="1:8">
      <c r="A7" s="14" t="s">
        <v>4</v>
      </c>
      <c r="B7" s="16">
        <v>3741869</v>
      </c>
      <c r="C7" s="16">
        <v>1853822</v>
      </c>
      <c r="D7" s="16">
        <v>1888047</v>
      </c>
      <c r="E7" s="16"/>
      <c r="F7" s="19">
        <f>SUM(F8:F26)</f>
        <v>3741869</v>
      </c>
      <c r="G7" s="19">
        <f>SUM(G8:G26)</f>
        <v>1853821.9999999998</v>
      </c>
      <c r="H7" s="19">
        <f>SUM(H8:H26)</f>
        <v>1888047</v>
      </c>
    </row>
    <row r="8" spans="1:8">
      <c r="A8" s="14" t="s">
        <v>39</v>
      </c>
      <c r="B8" s="16">
        <f>C8+D8</f>
        <v>49958</v>
      </c>
      <c r="C8" s="16">
        <v>25323</v>
      </c>
      <c r="D8" s="16">
        <v>24635</v>
      </c>
      <c r="E8" s="16"/>
      <c r="F8" s="19">
        <f t="shared" ref="F8:F26" si="0">B8+(B8/SUM(B$8:B$26))*B$27</f>
        <v>50060.197551302408</v>
      </c>
      <c r="G8" s="19">
        <f t="shared" ref="G8:G26" si="1">C8+(C8/SUM(C$8:C$26))*C$27</f>
        <v>25375.192502306745</v>
      </c>
      <c r="H8" s="19">
        <f t="shared" ref="H8:H26" si="2">D8+(D8/SUM(D$8:D$26))*D$27</f>
        <v>24685.022534511609</v>
      </c>
    </row>
    <row r="9" spans="1:8">
      <c r="A9" s="14" t="s">
        <v>40</v>
      </c>
      <c r="B9" s="16">
        <f>C9+D9</f>
        <v>241328</v>
      </c>
      <c r="C9" s="16">
        <v>122287</v>
      </c>
      <c r="D9" s="16">
        <v>119041</v>
      </c>
      <c r="F9" s="19">
        <f t="shared" si="0"/>
        <v>241821.67730214796</v>
      </c>
      <c r="G9" s="19">
        <f t="shared" si="1"/>
        <v>122539.04219601094</v>
      </c>
      <c r="H9" s="19">
        <f t="shared" si="2"/>
        <v>119282.71838972181</v>
      </c>
    </row>
    <row r="10" spans="1:8">
      <c r="A10" s="14" t="s">
        <v>7</v>
      </c>
      <c r="B10" s="16">
        <v>317322</v>
      </c>
      <c r="C10" s="16">
        <v>161182</v>
      </c>
      <c r="D10" s="16">
        <v>156140</v>
      </c>
      <c r="E10" s="16"/>
      <c r="F10" s="19">
        <f t="shared" si="0"/>
        <v>317971.13590164506</v>
      </c>
      <c r="G10" s="19">
        <f t="shared" si="1"/>
        <v>161514.20755466595</v>
      </c>
      <c r="H10" s="19">
        <f t="shared" si="2"/>
        <v>156457.04966667923</v>
      </c>
    </row>
    <row r="11" spans="1:8">
      <c r="A11" s="14" t="s">
        <v>8</v>
      </c>
      <c r="B11" s="16">
        <v>333715</v>
      </c>
      <c r="C11" s="16">
        <v>169615</v>
      </c>
      <c r="D11" s="16">
        <v>164100</v>
      </c>
      <c r="E11" s="16"/>
      <c r="F11" s="19">
        <f t="shared" si="0"/>
        <v>334397.670559928</v>
      </c>
      <c r="G11" s="19">
        <f t="shared" si="1"/>
        <v>169964.58856686644</v>
      </c>
      <c r="H11" s="19">
        <f t="shared" si="2"/>
        <v>164433.21282376113</v>
      </c>
    </row>
    <row r="12" spans="1:8">
      <c r="A12" s="14" t="s">
        <v>9</v>
      </c>
      <c r="B12" s="16">
        <v>326333</v>
      </c>
      <c r="C12" s="16">
        <v>165942</v>
      </c>
      <c r="D12" s="16">
        <v>160391</v>
      </c>
      <c r="E12" s="16"/>
      <c r="F12" s="19">
        <f t="shared" si="0"/>
        <v>327000.56942850334</v>
      </c>
      <c r="G12" s="19">
        <f t="shared" si="1"/>
        <v>166284.01825288418</v>
      </c>
      <c r="H12" s="19">
        <f t="shared" si="2"/>
        <v>160716.68152355801</v>
      </c>
    </row>
    <row r="13" spans="1:8">
      <c r="A13" s="14" t="s">
        <v>10</v>
      </c>
      <c r="B13" s="16">
        <v>314067</v>
      </c>
      <c r="C13" s="16">
        <v>157281</v>
      </c>
      <c r="D13" s="16">
        <v>156786</v>
      </c>
      <c r="E13" s="16"/>
      <c r="F13" s="19">
        <f t="shared" si="0"/>
        <v>314709.47724778601</v>
      </c>
      <c r="G13" s="19">
        <f t="shared" si="1"/>
        <v>157605.16731648333</v>
      </c>
      <c r="H13" s="19">
        <f t="shared" si="2"/>
        <v>157104.3614002816</v>
      </c>
    </row>
    <row r="14" spans="1:8">
      <c r="A14" s="14" t="s">
        <v>11</v>
      </c>
      <c r="B14" s="16">
        <v>298299</v>
      </c>
      <c r="C14" s="16">
        <v>147844</v>
      </c>
      <c r="D14" s="16">
        <v>150455</v>
      </c>
      <c r="E14" s="16"/>
      <c r="F14" s="19">
        <f t="shared" si="0"/>
        <v>298909.22113287076</v>
      </c>
      <c r="G14" s="19">
        <f t="shared" si="1"/>
        <v>148148.71698894439</v>
      </c>
      <c r="H14" s="19">
        <f t="shared" si="2"/>
        <v>150760.50600486886</v>
      </c>
    </row>
    <row r="15" spans="1:8">
      <c r="A15" s="14" t="s">
        <v>12</v>
      </c>
      <c r="B15" s="16">
        <v>275644</v>
      </c>
      <c r="C15" s="16">
        <v>135649</v>
      </c>
      <c r="D15" s="16">
        <v>139995</v>
      </c>
      <c r="E15" s="16"/>
      <c r="F15" s="19">
        <f t="shared" si="0"/>
        <v>276207.87649287807</v>
      </c>
      <c r="G15" s="19">
        <f t="shared" si="1"/>
        <v>135928.58222743782</v>
      </c>
      <c r="H15" s="19">
        <f t="shared" si="2"/>
        <v>140279.26647935671</v>
      </c>
    </row>
    <row r="16" spans="1:8">
      <c r="A16" s="14" t="s">
        <v>13</v>
      </c>
      <c r="B16" s="16">
        <v>263669</v>
      </c>
      <c r="C16" s="16">
        <v>130612</v>
      </c>
      <c r="D16" s="16">
        <v>133057</v>
      </c>
      <c r="E16" s="16"/>
      <c r="F16" s="19">
        <f t="shared" si="0"/>
        <v>264208.37960195274</v>
      </c>
      <c r="G16" s="19">
        <f t="shared" si="1"/>
        <v>130881.20061253756</v>
      </c>
      <c r="H16" s="19">
        <f t="shared" si="2"/>
        <v>133327.17854168912</v>
      </c>
    </row>
    <row r="17" spans="1:8">
      <c r="A17" s="14" t="s">
        <v>14</v>
      </c>
      <c r="B17" s="16">
        <v>251983</v>
      </c>
      <c r="C17" s="16">
        <v>124354</v>
      </c>
      <c r="D17" s="16">
        <v>127629</v>
      </c>
      <c r="E17" s="16"/>
      <c r="F17" s="19">
        <f t="shared" si="0"/>
        <v>252498.47390948067</v>
      </c>
      <c r="G17" s="19">
        <f t="shared" si="1"/>
        <v>124610.30242988007</v>
      </c>
      <c r="H17" s="19">
        <f t="shared" si="2"/>
        <v>127888.15673055337</v>
      </c>
    </row>
    <row r="18" spans="1:8">
      <c r="A18" s="14" t="s">
        <v>15</v>
      </c>
      <c r="B18" s="16">
        <v>248522</v>
      </c>
      <c r="C18" s="16">
        <v>123238</v>
      </c>
      <c r="D18" s="16">
        <v>125284</v>
      </c>
      <c r="E18" s="16"/>
      <c r="F18" s="19">
        <f t="shared" si="0"/>
        <v>249030.39384772765</v>
      </c>
      <c r="G18" s="19">
        <f t="shared" si="1"/>
        <v>123492.00227458353</v>
      </c>
      <c r="H18" s="19">
        <f t="shared" si="2"/>
        <v>125538.3950969658</v>
      </c>
    </row>
    <row r="19" spans="1:8">
      <c r="A19" s="14" t="s">
        <v>16</v>
      </c>
      <c r="B19" s="16">
        <v>219930</v>
      </c>
      <c r="C19" s="16">
        <v>107604</v>
      </c>
      <c r="D19" s="16">
        <v>112326</v>
      </c>
      <c r="E19" s="16"/>
      <c r="F19" s="19">
        <f t="shared" si="0"/>
        <v>220379.90406857638</v>
      </c>
      <c r="G19" s="19">
        <f t="shared" si="1"/>
        <v>107825.7794897214</v>
      </c>
      <c r="H19" s="19">
        <f t="shared" si="2"/>
        <v>112554.08326411816</v>
      </c>
    </row>
    <row r="20" spans="1:8">
      <c r="A20" s="14" t="s">
        <v>17</v>
      </c>
      <c r="B20" s="16">
        <v>173639</v>
      </c>
      <c r="C20" s="16">
        <v>84028</v>
      </c>
      <c r="D20" s="16">
        <v>89611</v>
      </c>
      <c r="E20" s="16"/>
      <c r="F20" s="19">
        <f t="shared" si="0"/>
        <v>173994.20798692098</v>
      </c>
      <c r="G20" s="19">
        <f t="shared" si="1"/>
        <v>84201.187678546426</v>
      </c>
      <c r="H20" s="19">
        <f t="shared" si="2"/>
        <v>89792.959380560991</v>
      </c>
    </row>
    <row r="21" spans="1:8">
      <c r="A21" s="14" t="s">
        <v>18</v>
      </c>
      <c r="B21" s="16">
        <v>140861</v>
      </c>
      <c r="C21" s="16">
        <v>66530</v>
      </c>
      <c r="D21" s="16">
        <v>74331</v>
      </c>
      <c r="E21" s="16"/>
      <c r="F21" s="19">
        <f t="shared" si="0"/>
        <v>141149.15503571017</v>
      </c>
      <c r="G21" s="19">
        <f t="shared" si="1"/>
        <v>66667.12305723918</v>
      </c>
      <c r="H21" s="19">
        <f t="shared" si="2"/>
        <v>74481.932616715349</v>
      </c>
    </row>
    <row r="22" spans="1:8">
      <c r="A22" s="14" t="s">
        <v>19</v>
      </c>
      <c r="B22" s="16">
        <v>100944</v>
      </c>
      <c r="C22" s="16">
        <v>47253</v>
      </c>
      <c r="D22" s="16">
        <v>53691</v>
      </c>
      <c r="E22" s="16"/>
      <c r="F22" s="19">
        <f t="shared" si="0"/>
        <v>101150.49805073603</v>
      </c>
      <c r="G22" s="19">
        <f t="shared" si="1"/>
        <v>47350.391790526424</v>
      </c>
      <c r="H22" s="19">
        <f t="shared" si="2"/>
        <v>53800.022118955261</v>
      </c>
    </row>
    <row r="23" spans="1:8">
      <c r="A23" s="14" t="s">
        <v>20</v>
      </c>
      <c r="B23" s="16">
        <v>74018</v>
      </c>
      <c r="C23" s="16">
        <v>34187</v>
      </c>
      <c r="D23" s="16">
        <v>39831</v>
      </c>
      <c r="E23" s="16"/>
      <c r="F23" s="19">
        <f t="shared" si="0"/>
        <v>74169.416356785732</v>
      </c>
      <c r="G23" s="19">
        <f t="shared" si="1"/>
        <v>34257.46183613161</v>
      </c>
      <c r="H23" s="19">
        <f t="shared" si="2"/>
        <v>39911.878732377998</v>
      </c>
    </row>
    <row r="24" spans="1:8">
      <c r="A24" s="14" t="s">
        <v>21</v>
      </c>
      <c r="B24" s="16">
        <v>50265</v>
      </c>
      <c r="C24" s="16">
        <v>23473</v>
      </c>
      <c r="D24" s="16">
        <v>26792</v>
      </c>
      <c r="E24" s="16"/>
      <c r="F24" s="19">
        <f t="shared" si="0"/>
        <v>50367.825571804628</v>
      </c>
      <c r="G24" s="19">
        <f t="shared" si="1"/>
        <v>23521.379520856386</v>
      </c>
      <c r="H24" s="19">
        <f t="shared" si="2"/>
        <v>26846.402425193224</v>
      </c>
    </row>
    <row r="25" spans="1:8">
      <c r="A25" s="14" t="s">
        <v>22</v>
      </c>
      <c r="B25" s="16">
        <v>31387</v>
      </c>
      <c r="C25" s="16">
        <v>14273</v>
      </c>
      <c r="D25" s="16">
        <v>17114</v>
      </c>
      <c r="E25" s="16"/>
      <c r="F25" s="19">
        <f t="shared" si="0"/>
        <v>31451.207425091652</v>
      </c>
      <c r="G25" s="19">
        <f t="shared" si="1"/>
        <v>14302.417667157295</v>
      </c>
      <c r="H25" s="19">
        <f t="shared" si="2"/>
        <v>17148.750787726069</v>
      </c>
    </row>
    <row r="26" spans="1:8">
      <c r="A26" s="14" t="s">
        <v>23</v>
      </c>
      <c r="B26" s="16">
        <v>22346</v>
      </c>
      <c r="C26" s="16">
        <v>9334</v>
      </c>
      <c r="D26" s="16">
        <v>13012</v>
      </c>
      <c r="E26" s="16"/>
      <c r="F26" s="19">
        <f t="shared" si="0"/>
        <v>22391.712528151722</v>
      </c>
      <c r="G26" s="19">
        <f t="shared" si="1"/>
        <v>9353.2380372203588</v>
      </c>
      <c r="H26" s="19">
        <f t="shared" si="2"/>
        <v>13038.421482405727</v>
      </c>
    </row>
    <row r="27" spans="1:8">
      <c r="A27" s="14" t="s">
        <v>24</v>
      </c>
      <c r="B27" s="16">
        <v>7639</v>
      </c>
      <c r="C27" s="16">
        <v>3813</v>
      </c>
      <c r="D27" s="16">
        <v>3826</v>
      </c>
      <c r="E27" s="16"/>
      <c r="F27" s="12"/>
      <c r="G27" s="12"/>
      <c r="H27" s="12"/>
    </row>
    <row r="28" spans="1:8">
      <c r="A28" s="14"/>
      <c r="B28" s="15"/>
      <c r="C28" s="15"/>
      <c r="D28" s="15"/>
      <c r="E28" s="15"/>
      <c r="F28" s="12"/>
      <c r="G28" s="12"/>
      <c r="H28" s="12"/>
    </row>
    <row r="29" spans="1:8">
      <c r="A29" s="14"/>
      <c r="B29" s="15"/>
      <c r="C29" s="15"/>
      <c r="D29" s="15"/>
      <c r="E29" s="15"/>
      <c r="F29" s="12"/>
      <c r="G29" s="12"/>
      <c r="H29" s="12"/>
    </row>
    <row r="30" spans="1:8">
      <c r="A30" s="14"/>
      <c r="B30" s="15"/>
      <c r="C30" s="15"/>
      <c r="D30" s="15"/>
      <c r="E30" s="15"/>
      <c r="F30" s="12"/>
      <c r="G30" s="12"/>
      <c r="H30" s="12"/>
    </row>
    <row r="31" spans="1:8" ht="77.25">
      <c r="A31" s="17" t="s">
        <v>25</v>
      </c>
      <c r="B31" s="15"/>
      <c r="C31" s="15"/>
      <c r="D31" s="15"/>
      <c r="E31" s="15"/>
      <c r="F31" s="12"/>
      <c r="G31" s="12"/>
      <c r="H31" s="12"/>
    </row>
    <row r="32" spans="1:8">
      <c r="A32" s="10"/>
      <c r="B32" s="11"/>
      <c r="C32" s="11"/>
      <c r="D32" s="11"/>
      <c r="E32" s="11"/>
    </row>
  </sheetData>
  <mergeCells count="2">
    <mergeCell ref="F4:H4"/>
    <mergeCell ref="F5:H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workbookViewId="0">
      <selection activeCell="I27" sqref="I27"/>
    </sheetView>
  </sheetViews>
  <sheetFormatPr baseColWidth="10" defaultRowHeight="15"/>
  <cols>
    <col min="1" max="1" width="24.85546875" customWidth="1"/>
  </cols>
  <sheetData>
    <row r="1" spans="1:13">
      <c r="G1" s="5" t="s">
        <v>32</v>
      </c>
      <c r="H1" s="6">
        <v>40518</v>
      </c>
      <c r="I1">
        <f>2010+(6-1)/12+12/365</f>
        <v>2010.4495433789955</v>
      </c>
    </row>
    <row r="2" spans="1:13">
      <c r="G2" s="5" t="s">
        <v>33</v>
      </c>
      <c r="H2" s="5" t="s">
        <v>34</v>
      </c>
      <c r="I2">
        <f>2020+(3-1)/12+15/365</f>
        <v>2020.2077625570778</v>
      </c>
      <c r="K2" s="5" t="s">
        <v>35</v>
      </c>
      <c r="L2">
        <f>I2-I1</f>
        <v>9.7582191780822995</v>
      </c>
    </row>
    <row r="3" spans="1:13">
      <c r="B3">
        <v>2010</v>
      </c>
      <c r="D3">
        <v>2020</v>
      </c>
      <c r="G3" s="24" t="s">
        <v>42</v>
      </c>
      <c r="H3">
        <f>[1]Tasas!$AG$2+0.5</f>
        <v>2021.5</v>
      </c>
    </row>
    <row r="4" spans="1:13">
      <c r="B4" s="2" t="s">
        <v>28</v>
      </c>
      <c r="C4" s="2" t="s">
        <v>29</v>
      </c>
      <c r="D4" s="2" t="s">
        <v>28</v>
      </c>
      <c r="E4" s="2" t="s">
        <v>29</v>
      </c>
      <c r="G4" s="7" t="s">
        <v>36</v>
      </c>
      <c r="H4" s="2" t="s">
        <v>28</v>
      </c>
      <c r="I4" s="2" t="s">
        <v>29</v>
      </c>
      <c r="K4" s="3" t="s">
        <v>37</v>
      </c>
      <c r="L4" s="2" t="s">
        <v>28</v>
      </c>
      <c r="M4" s="2" t="s">
        <v>29</v>
      </c>
    </row>
    <row r="5" spans="1:13">
      <c r="A5" s="1" t="s">
        <v>39</v>
      </c>
      <c r="B5" s="9">
        <f>'2010'!G8</f>
        <v>30624.720610687022</v>
      </c>
      <c r="C5" s="9">
        <f>'2010'!H8</f>
        <v>29780.539373702733</v>
      </c>
      <c r="D5" s="9">
        <f>'2020'!G8</f>
        <v>25375.192502306745</v>
      </c>
      <c r="E5" s="9">
        <f>'2020'!H8</f>
        <v>24685.022534511609</v>
      </c>
      <c r="H5" s="8">
        <f>LN(D5/B5)/$L$2</f>
        <v>-1.9269450587695192E-2</v>
      </c>
      <c r="I5" s="8">
        <f>LN(E5/C5)/$L$2</f>
        <v>-1.9230809537921788E-2</v>
      </c>
      <c r="L5" s="4">
        <f>B5*EXP(H5*($H$3-$I$1))</f>
        <v>24751.134295284064</v>
      </c>
      <c r="M5" s="4">
        <f>C5*EXP(I5*($H$3-$I$1))</f>
        <v>24079.140166951587</v>
      </c>
    </row>
    <row r="6" spans="1:13">
      <c r="A6" s="1" t="s">
        <v>41</v>
      </c>
      <c r="B6" s="9">
        <f>'2010'!G9</f>
        <v>138144.4340966921</v>
      </c>
      <c r="C6" s="9">
        <f>'2010'!H9</f>
        <v>134242.88840357368</v>
      </c>
      <c r="D6" s="9">
        <f>'2020'!G9</f>
        <v>122539.04219601094</v>
      </c>
      <c r="E6" s="9">
        <f>'2020'!H9</f>
        <v>119282.71838972181</v>
      </c>
      <c r="H6" s="8">
        <f t="shared" ref="H6:H23" si="0">LN(D6/B6)/$L$2</f>
        <v>-1.2284010895703525E-2</v>
      </c>
      <c r="I6" s="8">
        <f t="shared" ref="I6:I23" si="1">LN(E6/C6)/$L$2</f>
        <v>-1.2108182534119449E-2</v>
      </c>
      <c r="L6" s="4">
        <f t="shared" ref="L6:L23" si="2">B6*EXP(H6*($H$3-$I$1))</f>
        <v>120609.23202879807</v>
      </c>
      <c r="M6" s="4">
        <f t="shared" ref="M6:M23" si="3">C6*EXP(I6*($H$3-$I$1))</f>
        <v>117430.86921668168</v>
      </c>
    </row>
    <row r="7" spans="1:13">
      <c r="A7" s="1" t="s">
        <v>7</v>
      </c>
      <c r="B7" s="9">
        <f>'2010'!G10</f>
        <v>175855.91806615776</v>
      </c>
      <c r="C7" s="9">
        <f>'2010'!H10</f>
        <v>169713.29364979092</v>
      </c>
      <c r="D7" s="9">
        <f>'2020'!G10</f>
        <v>161514.20755466595</v>
      </c>
      <c r="E7" s="9">
        <f>'2020'!H10</f>
        <v>156457.04966667923</v>
      </c>
      <c r="F7" s="4"/>
      <c r="H7" s="8">
        <f t="shared" si="0"/>
        <v>-8.7179740064708706E-3</v>
      </c>
      <c r="I7" s="8">
        <f t="shared" si="1"/>
        <v>-8.33440759822064E-3</v>
      </c>
      <c r="L7" s="4">
        <f t="shared" si="2"/>
        <v>159704.84914205881</v>
      </c>
      <c r="M7" s="4">
        <f t="shared" si="3"/>
        <v>154781.04351233962</v>
      </c>
    </row>
    <row r="8" spans="1:13">
      <c r="A8" s="1" t="s">
        <v>8</v>
      </c>
      <c r="B8" s="9">
        <f>'2010'!G11</f>
        <v>169947.18727735369</v>
      </c>
      <c r="C8" s="9">
        <f>'2010'!H11</f>
        <v>164892.68419817707</v>
      </c>
      <c r="D8" s="9">
        <f>'2020'!G11</f>
        <v>169964.58856686644</v>
      </c>
      <c r="E8" s="9">
        <f>'2020'!H11</f>
        <v>164433.21282376113</v>
      </c>
      <c r="H8" s="8">
        <f t="shared" si="0"/>
        <v>1.0492395431739692E-5</v>
      </c>
      <c r="I8" s="8">
        <f t="shared" si="1"/>
        <v>-2.8595143810167543E-4</v>
      </c>
      <c r="L8" s="4">
        <f t="shared" si="2"/>
        <v>169966.89307561889</v>
      </c>
      <c r="M8" s="4">
        <f t="shared" si="3"/>
        <v>164372.46315545618</v>
      </c>
    </row>
    <row r="9" spans="1:13">
      <c r="A9" s="1" t="s">
        <v>9</v>
      </c>
      <c r="B9" s="9">
        <f>'2010'!G12</f>
        <v>167614.84783715013</v>
      </c>
      <c r="C9" s="9">
        <f>'2010'!H12</f>
        <v>164515.28461330204</v>
      </c>
      <c r="D9" s="9">
        <f>'2020'!G12</f>
        <v>166284.01825288418</v>
      </c>
      <c r="E9" s="9">
        <f>'2020'!H12</f>
        <v>160716.68152355801</v>
      </c>
      <c r="F9" s="8"/>
      <c r="H9" s="8">
        <f t="shared" si="0"/>
        <v>-8.1690062689100196E-4</v>
      </c>
      <c r="I9" s="8">
        <f t="shared" si="1"/>
        <v>-2.3939213001183865E-3</v>
      </c>
      <c r="L9" s="4">
        <f t="shared" si="2"/>
        <v>166108.57654201979</v>
      </c>
      <c r="M9" s="4">
        <f t="shared" si="3"/>
        <v>160220.27032395627</v>
      </c>
    </row>
    <row r="10" spans="1:13">
      <c r="A10" s="1" t="s">
        <v>10</v>
      </c>
      <c r="B10" s="9">
        <f>'2010'!G13</f>
        <v>147463.47633587787</v>
      </c>
      <c r="C10" s="9">
        <f>'2010'!H13</f>
        <v>147370.41330806486</v>
      </c>
      <c r="D10" s="9">
        <f>'2020'!G13</f>
        <v>157605.16731648333</v>
      </c>
      <c r="E10" s="9">
        <f>'2020'!H13</f>
        <v>157104.3614002816</v>
      </c>
      <c r="H10" s="8">
        <f t="shared" si="0"/>
        <v>6.8160425747756832E-3</v>
      </c>
      <c r="I10" s="8">
        <f t="shared" si="1"/>
        <v>6.5545843830928704E-3</v>
      </c>
      <c r="L10" s="4">
        <f t="shared" si="2"/>
        <v>158999.4765148049</v>
      </c>
      <c r="M10" s="4">
        <f t="shared" si="3"/>
        <v>158440.69926412406</v>
      </c>
    </row>
    <row r="11" spans="1:13">
      <c r="A11" s="1" t="s">
        <v>11</v>
      </c>
      <c r="B11" s="9">
        <f>'2010'!G14</f>
        <v>130372.72010178117</v>
      </c>
      <c r="C11" s="9">
        <f>'2010'!H14</f>
        <v>132658.01637637999</v>
      </c>
      <c r="D11" s="9">
        <f>'2020'!G14</f>
        <v>148148.71698894439</v>
      </c>
      <c r="E11" s="9">
        <f>'2020'!H14</f>
        <v>150760.50600486886</v>
      </c>
      <c r="H11" s="8">
        <f t="shared" si="0"/>
        <v>1.3098618251926594E-2</v>
      </c>
      <c r="I11" s="8">
        <f t="shared" si="1"/>
        <v>1.3108745675999747E-2</v>
      </c>
      <c r="L11" s="4">
        <f t="shared" si="2"/>
        <v>150677.70303614976</v>
      </c>
      <c r="M11" s="4">
        <f t="shared" si="3"/>
        <v>153336.08353404936</v>
      </c>
    </row>
    <row r="12" spans="1:13">
      <c r="A12" s="1" t="s">
        <v>12</v>
      </c>
      <c r="B12" s="9">
        <f>'2010'!G15</f>
        <v>128053.79083969466</v>
      </c>
      <c r="C12" s="9">
        <f>'2010'!H15</f>
        <v>131127.7951087447</v>
      </c>
      <c r="D12" s="9">
        <f>'2020'!G15</f>
        <v>135928.58222743782</v>
      </c>
      <c r="E12" s="9">
        <f>'2020'!H15</f>
        <v>140279.26647935671</v>
      </c>
      <c r="H12" s="8">
        <f t="shared" si="0"/>
        <v>6.1157880816866371E-3</v>
      </c>
      <c r="I12" s="8">
        <f t="shared" si="1"/>
        <v>6.91343494081555E-3</v>
      </c>
      <c r="L12" s="4">
        <f t="shared" si="2"/>
        <v>137007.08878944814</v>
      </c>
      <c r="M12" s="4">
        <f t="shared" si="3"/>
        <v>141538.10806518266</v>
      </c>
    </row>
    <row r="13" spans="1:13">
      <c r="A13" s="1" t="s">
        <v>13</v>
      </c>
      <c r="B13" s="9">
        <f>'2010'!G16</f>
        <v>132500.81221374046</v>
      </c>
      <c r="C13" s="9">
        <f>'2010'!H16</f>
        <v>135616.37541738112</v>
      </c>
      <c r="D13" s="9">
        <f>'2020'!G16</f>
        <v>130881.20061253756</v>
      </c>
      <c r="E13" s="9">
        <f>'2020'!H16</f>
        <v>133327.17854168912</v>
      </c>
      <c r="H13" s="8">
        <f t="shared" si="0"/>
        <v>-1.260345653382194E-3</v>
      </c>
      <c r="I13" s="8">
        <f t="shared" si="1"/>
        <v>-1.7445841431056868E-3</v>
      </c>
      <c r="L13" s="4">
        <f t="shared" si="2"/>
        <v>130668.21236186047</v>
      </c>
      <c r="M13" s="4">
        <f t="shared" si="3"/>
        <v>133026.94204649804</v>
      </c>
    </row>
    <row r="14" spans="1:13">
      <c r="A14" s="1" t="s">
        <v>14</v>
      </c>
      <c r="B14" s="9">
        <f>'2010'!G17</f>
        <v>113412.9709923664</v>
      </c>
      <c r="C14" s="9">
        <f>'2010'!H17</f>
        <v>116325.6884396715</v>
      </c>
      <c r="D14" s="9">
        <f>'2020'!G17</f>
        <v>124610.30242988007</v>
      </c>
      <c r="E14" s="9">
        <f>'2020'!H17</f>
        <v>127888.15673055337</v>
      </c>
      <c r="H14" s="8">
        <f t="shared" si="0"/>
        <v>9.6488424623048363E-3</v>
      </c>
      <c r="I14" s="8">
        <f t="shared" si="1"/>
        <v>9.7110127090477665E-3</v>
      </c>
      <c r="L14" s="4">
        <f t="shared" si="2"/>
        <v>126173.74459621988</v>
      </c>
      <c r="M14" s="4">
        <f t="shared" si="3"/>
        <v>129503.12869361759</v>
      </c>
    </row>
    <row r="15" spans="1:13">
      <c r="A15" s="1" t="s">
        <v>15</v>
      </c>
      <c r="B15" s="9">
        <f>'2010'!G18</f>
        <v>92182.595928753188</v>
      </c>
      <c r="C15" s="9">
        <f>'2010'!H18</f>
        <v>96711.221490238546</v>
      </c>
      <c r="D15" s="9">
        <f>'2020'!G18</f>
        <v>123492.00227458353</v>
      </c>
      <c r="E15" s="9">
        <f>'2020'!H18</f>
        <v>125538.3950969658</v>
      </c>
      <c r="H15" s="8">
        <f t="shared" si="0"/>
        <v>2.9965000919788546E-2</v>
      </c>
      <c r="I15" s="8">
        <f t="shared" si="1"/>
        <v>2.6734612530852447E-2</v>
      </c>
      <c r="L15" s="4">
        <f t="shared" si="2"/>
        <v>128367.63443609126</v>
      </c>
      <c r="M15" s="4">
        <f t="shared" si="3"/>
        <v>129951.21569536316</v>
      </c>
    </row>
    <row r="16" spans="1:13">
      <c r="A16" s="1" t="s">
        <v>16</v>
      </c>
      <c r="B16" s="9">
        <f>'2010'!G19</f>
        <v>74259.377099236648</v>
      </c>
      <c r="C16" s="9">
        <f>'2010'!H19</f>
        <v>79481.796179646844</v>
      </c>
      <c r="D16" s="9">
        <f>'2020'!G19</f>
        <v>107825.7794897214</v>
      </c>
      <c r="E16" s="9">
        <f>'2020'!H19</f>
        <v>112554.08326411816</v>
      </c>
      <c r="H16" s="8">
        <f t="shared" si="0"/>
        <v>3.8219341491046006E-2</v>
      </c>
      <c r="I16" s="8">
        <f t="shared" si="1"/>
        <v>3.5652594324241539E-2</v>
      </c>
      <c r="L16" s="4">
        <f t="shared" si="2"/>
        <v>113284.82649830298</v>
      </c>
      <c r="M16" s="4">
        <f t="shared" si="3"/>
        <v>117860.94101741881</v>
      </c>
    </row>
    <row r="17" spans="1:15">
      <c r="A17" s="1" t="s">
        <v>17</v>
      </c>
      <c r="B17" s="9">
        <f>'2010'!G20</f>
        <v>53961.525190839697</v>
      </c>
      <c r="C17" s="9">
        <f>'2010'!H20</f>
        <v>58049.418115091896</v>
      </c>
      <c r="D17" s="9">
        <f>'2020'!G20</f>
        <v>84201.187678546426</v>
      </c>
      <c r="E17" s="9">
        <f>'2020'!H20</f>
        <v>89792.959380560991</v>
      </c>
      <c r="H17" s="8">
        <f t="shared" si="0"/>
        <v>4.5596201757998917E-2</v>
      </c>
      <c r="I17" s="8">
        <f t="shared" si="1"/>
        <v>4.4701997024539565E-2</v>
      </c>
      <c r="L17" s="4">
        <f t="shared" si="2"/>
        <v>89311.489887710093</v>
      </c>
      <c r="M17" s="4">
        <f t="shared" si="3"/>
        <v>95132.643319862735</v>
      </c>
    </row>
    <row r="18" spans="1:15">
      <c r="A18" s="1" t="s">
        <v>18</v>
      </c>
      <c r="B18" s="9">
        <f>'2010'!G21</f>
        <v>43876.039694656487</v>
      </c>
      <c r="C18" s="9">
        <f>'2010'!H21</f>
        <v>48472.130289083419</v>
      </c>
      <c r="D18" s="9">
        <f>'2020'!G21</f>
        <v>66667.12305723918</v>
      </c>
      <c r="E18" s="9">
        <f>'2020'!H21</f>
        <v>74481.932616715349</v>
      </c>
      <c r="H18" s="8">
        <f t="shared" si="0"/>
        <v>4.2870890459720284E-2</v>
      </c>
      <c r="I18" s="8">
        <f t="shared" si="1"/>
        <v>4.4021103990284451E-2</v>
      </c>
      <c r="L18" s="4">
        <f t="shared" si="2"/>
        <v>70464.659016115067</v>
      </c>
      <c r="M18" s="4">
        <f t="shared" si="3"/>
        <v>78841.720097263606</v>
      </c>
    </row>
    <row r="19" spans="1:15">
      <c r="A19" s="1" t="s">
        <v>19</v>
      </c>
      <c r="B19" s="9">
        <f>'2010'!G22</f>
        <v>33846.258015267173</v>
      </c>
      <c r="C19" s="9">
        <f>'2010'!H22</f>
        <v>37119.208350630208</v>
      </c>
      <c r="D19" s="9">
        <f>'2020'!G22</f>
        <v>47350.391790526424</v>
      </c>
      <c r="E19" s="9">
        <f>'2020'!H22</f>
        <v>53800.022118955261</v>
      </c>
      <c r="H19" s="8">
        <f t="shared" si="0"/>
        <v>3.4406549048751588E-2</v>
      </c>
      <c r="I19" s="8">
        <f t="shared" si="1"/>
        <v>3.8033506995284252E-2</v>
      </c>
      <c r="L19" s="4">
        <f t="shared" si="2"/>
        <v>49503.160940096212</v>
      </c>
      <c r="M19" s="4">
        <f t="shared" si="3"/>
        <v>56510.259182796734</v>
      </c>
    </row>
    <row r="20" spans="1:15">
      <c r="A20" s="1" t="s">
        <v>20</v>
      </c>
      <c r="B20" s="9">
        <f>'2010'!G23</f>
        <v>27101.969974554708</v>
      </c>
      <c r="C20" s="9">
        <f>'2010'!H23</f>
        <v>29022.646764732424</v>
      </c>
      <c r="D20" s="9">
        <f>'2020'!G23</f>
        <v>34257.46183613161</v>
      </c>
      <c r="E20" s="9">
        <f>'2020'!H23</f>
        <v>39911.878732377998</v>
      </c>
      <c r="H20" s="8">
        <f t="shared" si="0"/>
        <v>2.4010322221764479E-2</v>
      </c>
      <c r="I20" s="8">
        <f t="shared" si="1"/>
        <v>3.2649148191722266E-2</v>
      </c>
      <c r="L20" s="4">
        <f t="shared" si="2"/>
        <v>35337.030692136104</v>
      </c>
      <c r="M20" s="4">
        <f t="shared" si="3"/>
        <v>41631.806062855081</v>
      </c>
    </row>
    <row r="21" spans="1:15">
      <c r="A21" s="1" t="s">
        <v>21</v>
      </c>
      <c r="B21" s="9">
        <f>'2010'!G24</f>
        <v>17065.998982188295</v>
      </c>
      <c r="C21" s="9">
        <f>'2010'!H24</f>
        <v>18397.714189453418</v>
      </c>
      <c r="D21" s="9">
        <f>'2020'!G24</f>
        <v>23521.379520856386</v>
      </c>
      <c r="E21" s="9">
        <f>'2020'!H24</f>
        <v>26846.402425193224</v>
      </c>
      <c r="H21" s="8">
        <f t="shared" si="0"/>
        <v>3.2877069891396646E-2</v>
      </c>
      <c r="I21" s="8">
        <f t="shared" si="1"/>
        <v>3.8726881322171211E-2</v>
      </c>
      <c r="L21" s="4">
        <f t="shared" si="2"/>
        <v>24542.216451109278</v>
      </c>
      <c r="M21" s="4">
        <f t="shared" si="3"/>
        <v>28224.097947523329</v>
      </c>
    </row>
    <row r="22" spans="1:15">
      <c r="A22" s="1" t="s">
        <v>22</v>
      </c>
      <c r="B22" s="9">
        <f>'2010'!G25</f>
        <v>9732.6946564885493</v>
      </c>
      <c r="C22" s="9">
        <f>'2010'!H25</f>
        <v>11619.98885780465</v>
      </c>
      <c r="D22" s="9">
        <f>'2020'!G25</f>
        <v>14302.417667157295</v>
      </c>
      <c r="E22" s="9">
        <f>'2020'!H25</f>
        <v>17148.750787726069</v>
      </c>
      <c r="H22" s="8">
        <f t="shared" si="0"/>
        <v>3.944754494799263E-2</v>
      </c>
      <c r="I22" s="8">
        <f t="shared" si="1"/>
        <v>3.9884176707655518E-2</v>
      </c>
      <c r="L22" s="4">
        <f t="shared" si="2"/>
        <v>15050.394225272292</v>
      </c>
      <c r="M22" s="4">
        <f t="shared" si="3"/>
        <v>18055.767396877669</v>
      </c>
    </row>
    <row r="23" spans="1:15">
      <c r="A23" s="1" t="s">
        <v>30</v>
      </c>
      <c r="B23" s="9">
        <f>'2010'!G26</f>
        <v>6527.6620865139948</v>
      </c>
      <c r="C23" s="9">
        <f>'2010'!H26</f>
        <v>8802.8968745299753</v>
      </c>
      <c r="D23" s="9">
        <f>'2020'!G26</f>
        <v>9353.2380372203588</v>
      </c>
      <c r="E23" s="9">
        <f>'2020'!H26</f>
        <v>13038.421482405727</v>
      </c>
      <c r="H23" s="8">
        <f t="shared" si="0"/>
        <v>3.6858543378772729E-2</v>
      </c>
      <c r="I23" s="8">
        <f t="shared" si="1"/>
        <v>4.0255258919604416E-2</v>
      </c>
      <c r="L23" s="4">
        <f t="shared" si="2"/>
        <v>9809.5125900676121</v>
      </c>
      <c r="M23" s="4">
        <f t="shared" si="3"/>
        <v>13734.622711758529</v>
      </c>
    </row>
    <row r="24" spans="1:15">
      <c r="D24" s="9"/>
      <c r="E24" s="9"/>
    </row>
    <row r="25" spans="1:15">
      <c r="B25" s="4">
        <f>SUM(B5:C23)</f>
        <v>3406464.9999999986</v>
      </c>
      <c r="D25" s="4">
        <f>SUM(D5:E23)</f>
        <v>3741869.0000000005</v>
      </c>
      <c r="E25" s="25" t="s">
        <v>43</v>
      </c>
      <c r="F25" s="25"/>
      <c r="G25" s="25"/>
      <c r="H25" s="25"/>
      <c r="I25" s="25"/>
      <c r="J25" s="25"/>
      <c r="K25" s="25"/>
      <c r="L25" s="25"/>
      <c r="M25" s="25"/>
      <c r="N25" s="25"/>
      <c r="O25" s="25"/>
    </row>
  </sheetData>
  <mergeCells count="1">
    <mergeCell ref="E25:O2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2010</vt:lpstr>
      <vt:lpstr>2020</vt:lpstr>
      <vt:lpstr>2010 y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Isabel Hernández Leyva</dc:creator>
  <cp:lastModifiedBy>Maria Isabel Hernández Leyva</cp:lastModifiedBy>
  <dcterms:created xsi:type="dcterms:W3CDTF">2026-03-13T02:47:05Z</dcterms:created>
  <dcterms:modified xsi:type="dcterms:W3CDTF">2026-05-18T23:21:54Z</dcterms:modified>
</cp:coreProperties>
</file>