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be\Documents\Demografia_Proyecto_Final\data\xlsx\"/>
    </mc:Choice>
  </mc:AlternateContent>
  <bookViews>
    <workbookView xWindow="0" yWindow="0" windowWidth="20490" windowHeight="8940" activeTab="3"/>
  </bookViews>
  <sheets>
    <sheet name="Chihuahua 2010" sheetId="2" r:id="rId1"/>
    <sheet name="Chihuahua 2019" sheetId="7" r:id="rId2"/>
    <sheet name="Cuadros a, b, c y d" sheetId="5" r:id="rId3"/>
    <sheet name="TGF, TBR y TNR" sheetId="6" r:id="rId4"/>
    <sheet name="Hoja1" sheetId="1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6" l="1"/>
  <c r="G20" i="6"/>
  <c r="G21" i="6"/>
  <c r="G22" i="6"/>
  <c r="G23" i="6"/>
  <c r="G24" i="6"/>
  <c r="G25" i="6"/>
  <c r="F20" i="6"/>
  <c r="F21" i="6"/>
  <c r="F22" i="6"/>
  <c r="F23" i="6"/>
  <c r="F24" i="6"/>
  <c r="F25" i="6"/>
  <c r="F19" i="6"/>
  <c r="E20" i="6"/>
  <c r="E21" i="6"/>
  <c r="E22" i="6"/>
  <c r="E23" i="6"/>
  <c r="E24" i="6"/>
  <c r="E25" i="6"/>
  <c r="E19" i="6"/>
  <c r="C10" i="5"/>
  <c r="B10" i="5"/>
  <c r="D5" i="5"/>
  <c r="D10" i="5" l="1"/>
  <c r="C4" i="5" l="1"/>
  <c r="B5" i="5"/>
  <c r="R10" i="2"/>
  <c r="F32" i="7" l="1"/>
  <c r="P17" i="7"/>
  <c r="M54" i="7" l="1"/>
  <c r="M53" i="7"/>
  <c r="M48" i="7"/>
  <c r="M47" i="7"/>
  <c r="M42" i="7"/>
  <c r="M41" i="7"/>
  <c r="M36" i="7"/>
  <c r="M35" i="7"/>
  <c r="B34" i="7"/>
  <c r="G32" i="7"/>
  <c r="M30" i="7"/>
  <c r="M29" i="7"/>
  <c r="I25" i="7"/>
  <c r="C33" i="7" s="1"/>
  <c r="H25" i="7"/>
  <c r="G25" i="7"/>
  <c r="C25" i="7"/>
  <c r="B25" i="7"/>
  <c r="D25" i="7" s="1"/>
  <c r="C32" i="7" s="1"/>
  <c r="M24" i="7"/>
  <c r="L24" i="7"/>
  <c r="L30" i="7" s="1"/>
  <c r="K24" i="7"/>
  <c r="K30" i="7" s="1"/>
  <c r="K36" i="7" s="1"/>
  <c r="K42" i="7" s="1"/>
  <c r="K48" i="7" s="1"/>
  <c r="K54" i="7" s="1"/>
  <c r="I24" i="7"/>
  <c r="D24" i="7"/>
  <c r="M23" i="7"/>
  <c r="L23" i="7"/>
  <c r="L29" i="7" s="1"/>
  <c r="L35" i="7" s="1"/>
  <c r="L41" i="7" s="1"/>
  <c r="L47" i="7" s="1"/>
  <c r="L53" i="7" s="1"/>
  <c r="K23" i="7"/>
  <c r="K29" i="7" s="1"/>
  <c r="K35" i="7" s="1"/>
  <c r="K41" i="7" s="1"/>
  <c r="K47" i="7" s="1"/>
  <c r="K53" i="7" s="1"/>
  <c r="I23" i="7"/>
  <c r="D23" i="7"/>
  <c r="I22" i="7"/>
  <c r="D22" i="7"/>
  <c r="I21" i="7"/>
  <c r="D21" i="7"/>
  <c r="I20" i="7"/>
  <c r="D20" i="7"/>
  <c r="L19" i="7"/>
  <c r="I19" i="7"/>
  <c r="D19" i="7"/>
  <c r="M18" i="7"/>
  <c r="N17" i="7" s="1"/>
  <c r="I18" i="7"/>
  <c r="D18" i="7"/>
  <c r="Q17" i="7"/>
  <c r="P23" i="7"/>
  <c r="M17" i="7"/>
  <c r="I17" i="7"/>
  <c r="D17" i="7"/>
  <c r="I16" i="7"/>
  <c r="D16" i="7"/>
  <c r="I15" i="7"/>
  <c r="D15" i="7"/>
  <c r="I14" i="7"/>
  <c r="D14" i="7"/>
  <c r="I13" i="7"/>
  <c r="D13" i="7"/>
  <c r="I12" i="7"/>
  <c r="D12" i="7"/>
  <c r="M11" i="7"/>
  <c r="B4" i="5" s="1"/>
  <c r="D4" i="5" s="1"/>
  <c r="I11" i="7"/>
  <c r="D11" i="7"/>
  <c r="I10" i="7"/>
  <c r="D10" i="7"/>
  <c r="I9" i="7"/>
  <c r="D9" i="7"/>
  <c r="I8" i="7"/>
  <c r="D8" i="7"/>
  <c r="I7" i="7"/>
  <c r="D7" i="7"/>
  <c r="Q8" i="7"/>
  <c r="I25" i="6"/>
  <c r="I24" i="6"/>
  <c r="I21" i="6"/>
  <c r="I20" i="6"/>
  <c r="F10" i="6"/>
  <c r="E10" i="6"/>
  <c r="F9" i="6"/>
  <c r="E9" i="6"/>
  <c r="G9" i="6" s="1"/>
  <c r="F8" i="6"/>
  <c r="E8" i="6"/>
  <c r="F7" i="6"/>
  <c r="E7" i="6"/>
  <c r="G7" i="6" s="1"/>
  <c r="F6" i="6"/>
  <c r="E6" i="6"/>
  <c r="F5" i="6"/>
  <c r="E5" i="6"/>
  <c r="G5" i="6" s="1"/>
  <c r="F4" i="6"/>
  <c r="E4" i="6"/>
  <c r="K25" i="6"/>
  <c r="K24" i="6"/>
  <c r="K23" i="6"/>
  <c r="N22" i="6"/>
  <c r="K22" i="6"/>
  <c r="N21" i="6"/>
  <c r="K21" i="6"/>
  <c r="K20" i="6"/>
  <c r="K19" i="6"/>
  <c r="K10" i="6"/>
  <c r="G10" i="6"/>
  <c r="K9" i="6"/>
  <c r="K8" i="6"/>
  <c r="G8" i="6"/>
  <c r="K7" i="6"/>
  <c r="K6" i="6"/>
  <c r="G6" i="6"/>
  <c r="K5" i="6"/>
  <c r="K4" i="6"/>
  <c r="G4" i="6"/>
  <c r="I2" i="6"/>
  <c r="C11" i="5"/>
  <c r="B11" i="5"/>
  <c r="C5" i="5"/>
  <c r="B17" i="5"/>
  <c r="D17" i="5" s="1"/>
  <c r="F23" i="5"/>
  <c r="E23" i="5"/>
  <c r="C17" i="5"/>
  <c r="B16" i="5" l="1"/>
  <c r="L36" i="7"/>
  <c r="L31" i="7"/>
  <c r="N29" i="7"/>
  <c r="R17" i="7"/>
  <c r="N4" i="7" s="1"/>
  <c r="P29" i="7"/>
  <c r="Q23" i="7"/>
  <c r="R23" i="7" s="1"/>
  <c r="N5" i="7" s="1"/>
  <c r="D32" i="7"/>
  <c r="H32" i="7" s="1"/>
  <c r="L25" i="7"/>
  <c r="N23" i="7" s="1"/>
  <c r="L21" i="6"/>
  <c r="G26" i="6"/>
  <c r="H21" i="6" s="1"/>
  <c r="G11" i="6"/>
  <c r="H7" i="6" s="1"/>
  <c r="G12" i="6"/>
  <c r="L13" i="6" s="1"/>
  <c r="I4" i="6"/>
  <c r="I7" i="6"/>
  <c r="L7" i="6" s="1"/>
  <c r="I22" i="6"/>
  <c r="L22" i="6" s="1"/>
  <c r="L24" i="6"/>
  <c r="H5" i="6"/>
  <c r="I5" i="6"/>
  <c r="L5" i="6" s="1"/>
  <c r="I9" i="6"/>
  <c r="L9" i="6" s="1"/>
  <c r="I8" i="6"/>
  <c r="L8" i="6" s="1"/>
  <c r="I23" i="6"/>
  <c r="L23" i="6" s="1"/>
  <c r="L4" i="6"/>
  <c r="H6" i="6"/>
  <c r="I6" i="6"/>
  <c r="L6" i="6" s="1"/>
  <c r="I10" i="6"/>
  <c r="L10" i="6" s="1"/>
  <c r="L20" i="6"/>
  <c r="L25" i="6"/>
  <c r="G27" i="6"/>
  <c r="I19" i="6"/>
  <c r="L19" i="6" s="1"/>
  <c r="C16" i="5"/>
  <c r="D16" i="5" s="1"/>
  <c r="C23" i="5" s="1"/>
  <c r="D11" i="5"/>
  <c r="H17" i="5" s="1"/>
  <c r="L28" i="6" l="1"/>
  <c r="D23" i="5"/>
  <c r="L26" i="6"/>
  <c r="L29" i="6" s="1"/>
  <c r="O22" i="6" s="1"/>
  <c r="H19" i="6"/>
  <c r="Q29" i="7"/>
  <c r="R29" i="7" s="1"/>
  <c r="N6" i="7" s="1"/>
  <c r="P35" i="7"/>
  <c r="L42" i="7"/>
  <c r="L37" i="7"/>
  <c r="N35" i="7" s="1"/>
  <c r="H25" i="6"/>
  <c r="H24" i="6"/>
  <c r="H20" i="6"/>
  <c r="H22" i="6"/>
  <c r="H23" i="6"/>
  <c r="I13" i="6"/>
  <c r="P21" i="6" s="1"/>
  <c r="L11" i="6"/>
  <c r="L14" i="6" s="1"/>
  <c r="P22" i="6" s="1"/>
  <c r="H9" i="6"/>
  <c r="H4" i="6"/>
  <c r="N2" i="6"/>
  <c r="I28" i="6"/>
  <c r="O21" i="6" s="1"/>
  <c r="O23" i="6" s="1"/>
  <c r="H10" i="6"/>
  <c r="H8" i="6"/>
  <c r="B23" i="5"/>
  <c r="H16" i="5"/>
  <c r="P41" i="7" l="1"/>
  <c r="Q35" i="7"/>
  <c r="R35" i="7" s="1"/>
  <c r="N7" i="7" s="1"/>
  <c r="L48" i="7"/>
  <c r="L43" i="7"/>
  <c r="N41" i="7" s="1"/>
  <c r="P23" i="6"/>
  <c r="L54" i="7" l="1"/>
  <c r="L55" i="7" s="1"/>
  <c r="N53" i="7" s="1"/>
  <c r="L49" i="7"/>
  <c r="N47" i="7" s="1"/>
  <c r="P47" i="7"/>
  <c r="Q41" i="7"/>
  <c r="R41" i="7" s="1"/>
  <c r="N8" i="7" s="1"/>
  <c r="Q47" i="7" l="1"/>
  <c r="P53" i="7"/>
  <c r="Q53" i="7" s="1"/>
  <c r="R47" i="7"/>
  <c r="N9" i="7" s="1"/>
  <c r="R53" i="7"/>
  <c r="N10" i="7" s="1"/>
  <c r="N11" i="7" s="1"/>
  <c r="R6" i="2" l="1"/>
  <c r="H25" i="2"/>
  <c r="G25" i="2"/>
  <c r="I23" i="2"/>
  <c r="I19" i="2"/>
  <c r="I15" i="2"/>
  <c r="I11" i="2"/>
  <c r="I9" i="2"/>
  <c r="I8" i="2"/>
  <c r="I10" i="2"/>
  <c r="I12" i="2"/>
  <c r="I13" i="2"/>
  <c r="I14" i="2"/>
  <c r="I16" i="2"/>
  <c r="I17" i="2"/>
  <c r="I18" i="2"/>
  <c r="I20" i="2"/>
  <c r="I21" i="2"/>
  <c r="I22" i="2"/>
  <c r="I24" i="2"/>
  <c r="I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7" i="2"/>
  <c r="C25" i="2"/>
  <c r="B25" i="2"/>
  <c r="D25" i="2" s="1"/>
  <c r="M54" i="2"/>
  <c r="M53" i="2"/>
  <c r="M48" i="2"/>
  <c r="M47" i="2"/>
  <c r="M42" i="2"/>
  <c r="M41" i="2"/>
  <c r="M36" i="2"/>
  <c r="M35" i="2"/>
  <c r="F32" i="2"/>
  <c r="M30" i="2"/>
  <c r="M29" i="2"/>
  <c r="M24" i="2"/>
  <c r="K24" i="2"/>
  <c r="K30" i="2" s="1"/>
  <c r="K36" i="2" s="1"/>
  <c r="K42" i="2" s="1"/>
  <c r="K48" i="2" s="1"/>
  <c r="K54" i="2" s="1"/>
  <c r="M23" i="2"/>
  <c r="K23" i="2"/>
  <c r="K29" i="2" s="1"/>
  <c r="K35" i="2" s="1"/>
  <c r="K41" i="2" s="1"/>
  <c r="K47" i="2" s="1"/>
  <c r="K53" i="2" s="1"/>
  <c r="M18" i="2"/>
  <c r="L24" i="2"/>
  <c r="P17" i="2"/>
  <c r="M17" i="2"/>
  <c r="L23" i="2"/>
  <c r="L29" i="2" s="1"/>
  <c r="L35" i="2" s="1"/>
  <c r="L41" i="2" s="1"/>
  <c r="L47" i="2" s="1"/>
  <c r="L53" i="2" s="1"/>
  <c r="M11" i="2"/>
  <c r="Q8" i="2"/>
  <c r="I25" i="2" l="1"/>
  <c r="C33" i="2" s="1"/>
  <c r="G32" i="2"/>
  <c r="Q17" i="2"/>
  <c r="B34" i="2"/>
  <c r="L30" i="2"/>
  <c r="L25" i="2"/>
  <c r="N23" i="2" s="1"/>
  <c r="P23" i="2"/>
  <c r="L19" i="2"/>
  <c r="N17" i="2" s="1"/>
  <c r="R17" i="2" s="1"/>
  <c r="N4" i="2" s="1"/>
  <c r="L36" i="2" l="1"/>
  <c r="L31" i="2"/>
  <c r="N29" i="2" s="1"/>
  <c r="Q23" i="2"/>
  <c r="R23" i="2" s="1"/>
  <c r="N5" i="2" s="1"/>
  <c r="P29" i="2"/>
  <c r="L42" i="2" l="1"/>
  <c r="L37" i="2"/>
  <c r="N35" i="2" s="1"/>
  <c r="P35" i="2"/>
  <c r="Q29" i="2"/>
  <c r="R29" i="2" s="1"/>
  <c r="N6" i="2" s="1"/>
  <c r="L48" i="2" l="1"/>
  <c r="L43" i="2"/>
  <c r="N41" i="2" s="1"/>
  <c r="P41" i="2"/>
  <c r="Q35" i="2"/>
  <c r="R35" i="2" s="1"/>
  <c r="N7" i="2" s="1"/>
  <c r="L49" i="2" l="1"/>
  <c r="N47" i="2" s="1"/>
  <c r="L54" i="2"/>
  <c r="L55" i="2" s="1"/>
  <c r="N53" i="2" s="1"/>
  <c r="Q41" i="2"/>
  <c r="R41" i="2" s="1"/>
  <c r="N8" i="2" s="1"/>
  <c r="P47" i="2"/>
  <c r="Q47" i="2" l="1"/>
  <c r="R47" i="2" s="1"/>
  <c r="N9" i="2" s="1"/>
  <c r="P53" i="2"/>
  <c r="Q53" i="2" s="1"/>
  <c r="R53" i="2" s="1"/>
  <c r="N10" i="2" s="1"/>
  <c r="N11" i="2" s="1"/>
  <c r="C32" i="2" l="1"/>
  <c r="D32" i="2" s="1"/>
  <c r="H32" i="2" l="1"/>
</calcChain>
</file>

<file path=xl/sharedStrings.xml><?xml version="1.0" encoding="utf-8"?>
<sst xmlns="http://schemas.openxmlformats.org/spreadsheetml/2006/main" count="378" uniqueCount="82">
  <si>
    <t>Edad</t>
  </si>
  <si>
    <t>Población 30/06/2010</t>
  </si>
  <si>
    <t>15-19</t>
  </si>
  <si>
    <t>20-24</t>
  </si>
  <si>
    <t>Hombres</t>
  </si>
  <si>
    <t>Mujeres</t>
  </si>
  <si>
    <t>Total</t>
  </si>
  <si>
    <t>25-29</t>
  </si>
  <si>
    <t>0-4</t>
  </si>
  <si>
    <t>30-34</t>
  </si>
  <si>
    <t>5-9</t>
  </si>
  <si>
    <t>35-39</t>
  </si>
  <si>
    <t>K</t>
  </si>
  <si>
    <t>10-14</t>
  </si>
  <si>
    <t>40-44</t>
  </si>
  <si>
    <t>45-49</t>
  </si>
  <si>
    <t>Fuente: Elaborado sobre la base de estadísticas vitales</t>
  </si>
  <si>
    <t>Tasas de crecimiento exponencial para Edades Específicas MEF</t>
  </si>
  <si>
    <t>Fechas</t>
  </si>
  <si>
    <r>
      <t>t</t>
    </r>
    <r>
      <rPr>
        <vertAlign val="subscript"/>
        <sz val="10"/>
        <color theme="1"/>
        <rFont val="Arial"/>
        <family val="2"/>
      </rPr>
      <t>i</t>
    </r>
  </si>
  <si>
    <t>N</t>
  </si>
  <si>
    <t>r</t>
  </si>
  <si>
    <r>
      <rPr>
        <sz val="10"/>
        <color theme="1"/>
        <rFont val="Calibri"/>
        <family val="2"/>
      </rPr>
      <t>Δ</t>
    </r>
    <r>
      <rPr>
        <vertAlign val="subscript"/>
        <sz val="10"/>
        <color theme="1"/>
        <rFont val="Calibri"/>
        <family val="2"/>
      </rPr>
      <t>t</t>
    </r>
  </si>
  <si>
    <r>
      <t>N</t>
    </r>
    <r>
      <rPr>
        <vertAlign val="superscript"/>
        <sz val="11"/>
        <color theme="1"/>
        <rFont val="Calibri"/>
        <family val="2"/>
        <scheme val="minor"/>
      </rPr>
      <t>30/06/2010</t>
    </r>
  </si>
  <si>
    <t>50-54</t>
  </si>
  <si>
    <t>55-59</t>
  </si>
  <si>
    <t>60-64</t>
  </si>
  <si>
    <t>65-69</t>
  </si>
  <si>
    <t>70-74</t>
  </si>
  <si>
    <t>75-79</t>
  </si>
  <si>
    <t>80-84</t>
  </si>
  <si>
    <t>85-89</t>
  </si>
  <si>
    <t xml:space="preserve"> Total</t>
  </si>
  <si>
    <t>Tasas de crecimiento exponencial para el Total de la Población</t>
  </si>
  <si>
    <t>Chihuahua 2020</t>
  </si>
  <si>
    <t>Chihuahua 2010</t>
  </si>
  <si>
    <t>Chihuahua: nacimientos por grupos quinquenales de edad de la madre, 2010</t>
  </si>
  <si>
    <t>Chihuahua: población total censada por sexo y grupos quinquenales de edad, 2010</t>
  </si>
  <si>
    <t>Chihuahua: población total censada por sexo y grupos quinquenales de edad, 2000</t>
  </si>
  <si>
    <t>15/03/2020</t>
  </si>
  <si>
    <t>Fecha de referencia: 06/12/2010</t>
  </si>
  <si>
    <t>Fecha de referencia: 15/03/2020</t>
  </si>
  <si>
    <t>Chihuahua: nacimientos por sexo, 2010</t>
  </si>
  <si>
    <t>TNR</t>
  </si>
  <si>
    <t>TBR</t>
  </si>
  <si>
    <t>TGF</t>
  </si>
  <si>
    <t xml:space="preserve">TFG </t>
  </si>
  <si>
    <t>b</t>
  </si>
  <si>
    <t>Δ</t>
  </si>
  <si>
    <t>d. Diferencias relativas de b, TFG, TGF, TBR y TNR de Brasil con respecto a Panamá</t>
  </si>
  <si>
    <t>Brasil</t>
  </si>
  <si>
    <t>Panamá</t>
  </si>
  <si>
    <t>TFG</t>
  </si>
  <si>
    <r>
      <t xml:space="preserve">MEF </t>
    </r>
    <r>
      <rPr>
        <b/>
        <vertAlign val="superscript"/>
        <sz val="10"/>
        <color theme="1"/>
        <rFont val="Arial"/>
        <family val="2"/>
      </rPr>
      <t>30-06-z</t>
    </r>
  </si>
  <si>
    <r>
      <t>B</t>
    </r>
    <r>
      <rPr>
        <b/>
        <vertAlign val="superscript"/>
        <sz val="10"/>
        <color rgb="FF000000"/>
        <rFont val="Arial"/>
        <family val="2"/>
      </rPr>
      <t>z</t>
    </r>
  </si>
  <si>
    <t>TFG (3 países)</t>
  </si>
  <si>
    <t>c. TFG</t>
  </si>
  <si>
    <t xml:space="preserve"> PMEF</t>
  </si>
  <si>
    <r>
      <t xml:space="preserve">N </t>
    </r>
    <r>
      <rPr>
        <b/>
        <vertAlign val="superscript"/>
        <sz val="10"/>
        <color rgb="FF000000"/>
        <rFont val="Arial"/>
        <family val="2"/>
      </rPr>
      <t>30-06-z</t>
    </r>
  </si>
  <si>
    <r>
      <t xml:space="preserve">MEF </t>
    </r>
    <r>
      <rPr>
        <b/>
        <vertAlign val="superscript"/>
        <sz val="10"/>
        <color rgb="FF000000"/>
        <rFont val="Arial"/>
        <family val="2"/>
      </rPr>
      <t>30-06-z</t>
    </r>
  </si>
  <si>
    <t>Proporción de Mujeres en Edad Fértil</t>
  </si>
  <si>
    <t>b. PMEF</t>
  </si>
  <si>
    <t>Tasas brutas de natalidad (b)</t>
  </si>
  <si>
    <t xml:space="preserve">a. Tasas brutas de natalidad </t>
  </si>
  <si>
    <t>Punto medio</t>
  </si>
  <si>
    <t>x</t>
  </si>
  <si>
    <t>x+n</t>
  </si>
  <si>
    <t>Nacimientos</t>
  </si>
  <si>
    <t>Población femenina 30/06/2010</t>
  </si>
  <si>
    <t>f(x,5)</t>
  </si>
  <si>
    <t>% f(x,5)</t>
  </si>
  <si>
    <t>f(x,5) fem</t>
  </si>
  <si>
    <t>L(x) fem</t>
  </si>
  <si>
    <r>
      <rPr>
        <b/>
        <vertAlign val="subscript"/>
        <sz val="10"/>
        <color theme="1"/>
        <rFont val="Arial"/>
        <family val="2"/>
      </rPr>
      <t>m+2,5</t>
    </r>
    <r>
      <rPr>
        <b/>
        <sz val="10"/>
        <color theme="1"/>
        <rFont val="Arial"/>
        <family val="2"/>
      </rPr>
      <t>P</t>
    </r>
    <r>
      <rPr>
        <b/>
        <vertAlign val="subscript"/>
        <sz val="10"/>
        <color theme="1"/>
        <rFont val="Arial"/>
        <family val="2"/>
      </rPr>
      <t>0</t>
    </r>
  </si>
  <si>
    <r>
      <rPr>
        <b/>
        <vertAlign val="subscript"/>
        <sz val="10"/>
        <color theme="1"/>
        <rFont val="Arial"/>
        <family val="2"/>
      </rPr>
      <t>m+2,5</t>
    </r>
    <r>
      <rPr>
        <b/>
        <sz val="10"/>
        <color theme="1"/>
        <rFont val="Arial"/>
        <family val="2"/>
      </rPr>
      <t>P</t>
    </r>
    <r>
      <rPr>
        <b/>
        <vertAlign val="subscript"/>
        <sz val="10"/>
        <color theme="1"/>
        <rFont val="Arial"/>
        <family val="2"/>
      </rPr>
      <t>0</t>
    </r>
    <r>
      <rPr>
        <b/>
        <sz val="10"/>
        <color theme="1"/>
        <rFont val="Arial"/>
        <family val="2"/>
      </rPr>
      <t xml:space="preserve"> * f(x,5)fem</t>
    </r>
  </si>
  <si>
    <t>TBR (K obs)</t>
  </si>
  <si>
    <t>Población femenina 30/06/2009</t>
  </si>
  <si>
    <t>diff</t>
  </si>
  <si>
    <t>Chihuahua: población total censada por sexo y grupos quinquenales de edad, 2020</t>
  </si>
  <si>
    <t>Chihuahua 2019</t>
  </si>
  <si>
    <t>Entidad</t>
  </si>
  <si>
    <t>Chihuahua 2010-Chihuahua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</si>
</sst>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vertAlign val="superscript"/>
      <sz val="10"/>
      <color theme="1"/>
      <name val="Arial"/>
      <family val="2"/>
    </font>
    <font>
      <b/>
      <vertAlign val="superscript"/>
      <sz val="10"/>
      <color rgb="FF000000"/>
      <name val="Arial"/>
      <family val="2"/>
    </font>
    <font>
      <b/>
      <vertAlign val="subscript"/>
      <sz val="10"/>
      <color theme="1"/>
      <name val="Arial"/>
      <family val="2"/>
    </font>
    <font>
      <b/>
      <sz val="10"/>
      <color theme="5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right" vertical="center"/>
    </xf>
    <xf numFmtId="1" fontId="0" fillId="0" borderId="4" xfId="0" applyNumberForma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vertical="center"/>
    </xf>
    <xf numFmtId="1" fontId="2" fillId="0" borderId="4" xfId="0" applyNumberFormat="1" applyFont="1" applyBorder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16" fontId="5" fillId="0" borderId="3" xfId="0" quotePrefix="1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vertical="center"/>
    </xf>
    <xf numFmtId="1" fontId="2" fillId="0" borderId="3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1" fontId="5" fillId="2" borderId="3" xfId="0" applyNumberFormat="1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1" fontId="0" fillId="0" borderId="5" xfId="0" applyNumberForma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right" vertical="center"/>
    </xf>
    <xf numFmtId="1" fontId="0" fillId="4" borderId="1" xfId="0" applyNumberForma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1" fillId="0" borderId="8" xfId="0" applyFont="1" applyBorder="1"/>
    <xf numFmtId="0" fontId="0" fillId="0" borderId="8" xfId="0" applyBorder="1"/>
    <xf numFmtId="0" fontId="5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14" fontId="5" fillId="0" borderId="8" xfId="0" applyNumberFormat="1" applyFont="1" applyBorder="1" applyAlignment="1">
      <alignment vertical="center"/>
    </xf>
    <xf numFmtId="2" fontId="5" fillId="0" borderId="8" xfId="0" applyNumberFormat="1" applyFont="1" applyBorder="1" applyAlignment="1">
      <alignment vertical="center"/>
    </xf>
    <xf numFmtId="1" fontId="5" fillId="0" borderId="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2" fontId="5" fillId="0" borderId="10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1" fontId="2" fillId="0" borderId="1" xfId="0" applyNumberFormat="1" applyFont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2" fontId="0" fillId="0" borderId="5" xfId="0" applyNumberFormat="1" applyBorder="1"/>
    <xf numFmtId="2" fontId="5" fillId="5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0" fillId="0" borderId="4" xfId="0" applyNumberFormat="1" applyBorder="1"/>
    <xf numFmtId="0" fontId="0" fillId="0" borderId="1" xfId="0" applyBorder="1"/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horizontal="center" vertical="center"/>
    </xf>
    <xf numFmtId="2" fontId="5" fillId="0" borderId="0" xfId="0" applyNumberFormat="1" applyFont="1"/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" fontId="12" fillId="5" borderId="1" xfId="0" applyNumberFormat="1" applyFont="1" applyFill="1" applyBorder="1" applyAlignment="1">
      <alignment horizontal="right" vertical="center"/>
    </xf>
    <xf numFmtId="1" fontId="12" fillId="8" borderId="1" xfId="0" applyNumberFormat="1" applyFont="1" applyFill="1" applyBorder="1" applyAlignment="1">
      <alignment horizontal="center" vertical="center"/>
    </xf>
    <xf numFmtId="164" fontId="5" fillId="0" borderId="13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1" fontId="12" fillId="9" borderId="1" xfId="0" applyNumberFormat="1" applyFont="1" applyFill="1" applyBorder="1" applyAlignment="1">
      <alignment horizontal="right" vertical="center"/>
    </xf>
    <xf numFmtId="1" fontId="12" fillId="9" borderId="1" xfId="0" applyNumberFormat="1" applyFont="1" applyFill="1" applyBorder="1" applyAlignment="1">
      <alignment horizontal="center" vertical="center"/>
    </xf>
    <xf numFmtId="164" fontId="5" fillId="9" borderId="13" xfId="0" applyNumberFormat="1" applyFont="1" applyFill="1" applyBorder="1" applyAlignment="1">
      <alignment vertical="center"/>
    </xf>
    <xf numFmtId="2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164" fontId="5" fillId="9" borderId="1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right" vertical="center"/>
    </xf>
    <xf numFmtId="2" fontId="17" fillId="0" borderId="13" xfId="0" applyNumberFormat="1" applyFont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2" fontId="5" fillId="0" borderId="11" xfId="0" applyNumberFormat="1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64" fontId="17" fillId="0" borderId="15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" fontId="12" fillId="5" borderId="1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" fontId="5" fillId="0" borderId="0" xfId="0" applyNumberFormat="1" applyFont="1"/>
    <xf numFmtId="165" fontId="2" fillId="5" borderId="1" xfId="0" applyNumberFormat="1" applyFont="1" applyFill="1" applyBorder="1" applyAlignment="1">
      <alignment horizontal="center" vertical="center"/>
    </xf>
    <xf numFmtId="164" fontId="17" fillId="0" borderId="1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'TGF, TBR y TNR'!$A$1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'TGF, TBR y TNR'!$A$4:$A$10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'TGF, TBR y TNR'!$G$4:$G$10</c:f>
              <c:numCache>
                <c:formatCode>0.0000</c:formatCode>
                <c:ptCount val="7"/>
                <c:pt idx="0">
                  <c:v>8.9133183900723695E-2</c:v>
                </c:pt>
                <c:pt idx="1">
                  <c:v>0.13376822928317267</c:v>
                </c:pt>
                <c:pt idx="2">
                  <c:v>0.11343486052624406</c:v>
                </c:pt>
                <c:pt idx="3">
                  <c:v>7.3452311273171603E-2</c:v>
                </c:pt>
                <c:pt idx="4">
                  <c:v>3.5013603264202373E-2</c:v>
                </c:pt>
                <c:pt idx="5">
                  <c:v>9.0219594310520686E-3</c:v>
                </c:pt>
                <c:pt idx="6">
                  <c:v>1.3423959935051218E-3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6-429D-8CC6-A7C51AFA33A1}"/>
            </c:ext>
          </c:extLst>
        </c:ser>
        <c:ser>
          <c:idx val="1"/>
          <c:order val="1"/>
          <c:tx>
            <c:strRef>
              <c:f>'TGF, TBR y TNR'!$A$16</c:f>
              <c:strCache>
                <c:ptCount val="1"/>
                <c:pt idx="0">
                  <c:v>Panamá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'TGF, TBR y TNR'!$G$19:$G$25</c:f>
              <c:numCache>
                <c:formatCode>0.0000</c:formatCode>
                <c:ptCount val="7"/>
                <c:pt idx="0">
                  <c:v>8.216078116580551E-2</c:v>
                </c:pt>
                <c:pt idx="1">
                  <c:v>0.12986545573804487</c:v>
                </c:pt>
                <c:pt idx="2">
                  <c:v>0.12464497400305198</c:v>
                </c:pt>
                <c:pt idx="3">
                  <c:v>7.258163186681596E-2</c:v>
                </c:pt>
                <c:pt idx="4">
                  <c:v>3.3357827669530139E-2</c:v>
                </c:pt>
                <c:pt idx="5">
                  <c:v>7.227653083585181E-3</c:v>
                </c:pt>
                <c:pt idx="6">
                  <c:v>1.0066134474222611E-3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66-429D-8CC6-A7C51AFA3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476184"/>
        <c:axId val="570475200"/>
      </c:lineChart>
      <c:catAx>
        <c:axId val="57047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0475200"/>
        <c:crosses val="autoZero"/>
        <c:auto val="1"/>
        <c:lblAlgn val="ctr"/>
        <c:lblOffset val="100"/>
        <c:noMultiLvlLbl val="0"/>
      </c:catAx>
      <c:valAx>
        <c:axId val="570475200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047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'TGF, TBR y TNR'!$N$21</c:f>
              <c:strCache>
                <c:ptCount val="1"/>
                <c:pt idx="0">
                  <c:v>TBR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'TGF, TBR y TNR'!$O$20:$P$20</c:f>
              <c:strCache>
                <c:ptCount val="2"/>
                <c:pt idx="0">
                  <c:v>Panamá</c:v>
                </c:pt>
                <c:pt idx="1">
                  <c:v>Brasil</c:v>
                </c:pt>
              </c:strCache>
            </c:strRef>
          </c:cat>
          <c:val>
            <c:numRef>
              <c:f>'TGF, TBR y TNR'!$O$21:$P$21</c:f>
              <c:numCache>
                <c:formatCode>0.000</c:formatCode>
                <c:ptCount val="2"/>
                <c:pt idx="0">
                  <c:v>1.099621797498185</c:v>
                </c:pt>
                <c:pt idx="1">
                  <c:v>1.1101623016391988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5-4E9F-AE91-9E8F328264BC}"/>
            </c:ext>
          </c:extLst>
        </c:ser>
        <c:ser>
          <c:idx val="1"/>
          <c:order val="1"/>
          <c:tx>
            <c:strRef>
              <c:f>'TGF, TBR y TNR'!$N$22</c:f>
              <c:strCache>
                <c:ptCount val="1"/>
                <c:pt idx="0">
                  <c:v>TNR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'TGF, TBR y TNR'!$O$20:$P$20</c:f>
              <c:strCache>
                <c:ptCount val="2"/>
                <c:pt idx="0">
                  <c:v>Panamá</c:v>
                </c:pt>
                <c:pt idx="1">
                  <c:v>Brasil</c:v>
                </c:pt>
              </c:strCache>
            </c:strRef>
          </c:cat>
          <c:val>
            <c:numRef>
              <c:f>'TGF, TBR y TNR'!$O$22:$P$22</c:f>
              <c:numCache>
                <c:formatCode>0.000</c:formatCode>
                <c:ptCount val="2"/>
                <c:pt idx="0">
                  <c:v>1.0650937065211443</c:v>
                </c:pt>
                <c:pt idx="1">
                  <c:v>1.073558317167749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5-4E9F-AE91-9E8F328264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81019320"/>
        <c:axId val="581019976"/>
      </c:barChart>
      <c:catAx>
        <c:axId val="58101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1019976"/>
        <c:crosses val="autoZero"/>
        <c:auto val="1"/>
        <c:lblAlgn val="ctr"/>
        <c:lblOffset val="100"/>
        <c:noMultiLvlLbl val="0"/>
      </c:catAx>
      <c:valAx>
        <c:axId val="581019976"/>
        <c:scaling>
          <c:orientation val="minMax"/>
          <c:max val="1.27"/>
          <c:min val="0.5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101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361950</xdr:colOff>
      <xdr:row>8</xdr:row>
      <xdr:rowOff>57150</xdr:rowOff>
    </xdr:from>
    <xdr:ext cx="1241045" cy="363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705225" y="1581150"/>
              <a:ext cx="1241045" cy="363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𝑃𝑀𝐸𝐹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</m:t>
                            </m:r>
                          </m:sup>
                        </m:sSup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𝑁𝐹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(15−49)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sup>
                        </m:sSubSup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𝑁𝐹</m:t>
                                </m:r>
                              </m:e>
                            </m:acc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705225" y="1581150"/>
              <a:ext cx="1241045" cy="363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〖𝑃𝑀𝐸𝐹〗^𝑧 ) ̅</a:t>
              </a:r>
              <a:r>
                <a:rPr lang="en-US" sz="1100" b="0" i="0">
                  <a:latin typeface="Cambria Math" panose="02040503050406030204" pitchFamily="18" charset="0"/>
                </a:rPr>
                <a:t>=((𝑁𝐹) ̅_((15−49))^𝑍)/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(𝑁𝐹) ̅^</a:t>
              </a:r>
              <a:r>
                <a:rPr lang="en-US" sz="1100" b="0" i="0">
                  <a:latin typeface="Cambria Math" panose="02040503050406030204" pitchFamily="18" charset="0"/>
                </a:rPr>
                <a:t>𝑍 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4</xdr:col>
      <xdr:colOff>304800</xdr:colOff>
      <xdr:row>14</xdr:row>
      <xdr:rowOff>38100</xdr:rowOff>
    </xdr:from>
    <xdr:ext cx="1466850" cy="5907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3648075" y="2705100"/>
              <a:ext cx="1466850" cy="5907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𝑇𝐹𝐺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𝑍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𝑀𝐸𝐹</m:t>
                                </m:r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30−06−</m:t>
                                </m:r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3648075" y="2705100"/>
              <a:ext cx="1466850" cy="5907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〖𝑇𝐹𝐺〗^𝑍=(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^𝑍/〖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𝑀𝐸𝐹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30−06−𝑧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8</xdr:col>
      <xdr:colOff>142875</xdr:colOff>
      <xdr:row>14</xdr:row>
      <xdr:rowOff>152400</xdr:rowOff>
    </xdr:from>
    <xdr:ext cx="1008033" cy="3431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 txBox="1"/>
          </xdr:nvSpPr>
          <xdr:spPr>
            <a:xfrm>
              <a:off x="6581775" y="2819400"/>
              <a:ext cx="1008033" cy="3431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𝑇𝐹𝐺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sup>
                        </m:sSup>
                      </m:num>
                      <m:den>
                        <m:acc>
                          <m:accPr>
                            <m:chr m:val="̅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𝑃𝑀𝐸𝐹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</m:sup>
                            </m:sSup>
                          </m:e>
                        </m:acc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 txBox="1"/>
          </xdr:nvSpPr>
          <xdr:spPr>
            <a:xfrm>
              <a:off x="6581775" y="2819400"/>
              <a:ext cx="1008033" cy="3431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〖𝑇𝐹𝐺〗^𝑍=𝑏^𝑍/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(〖𝑃𝑀𝐸𝐹〗^𝑧 ) ̅ 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11</xdr:row>
          <xdr:rowOff>66675</xdr:rowOff>
        </xdr:from>
        <xdr:to>
          <xdr:col>4</xdr:col>
          <xdr:colOff>838200</xdr:colOff>
          <xdr:row>13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361950</xdr:colOff>
      <xdr:row>2</xdr:row>
      <xdr:rowOff>252412</xdr:rowOff>
    </xdr:from>
    <xdr:to>
      <xdr:col>18</xdr:col>
      <xdr:colOff>361950</xdr:colOff>
      <xdr:row>17</xdr:row>
      <xdr:rowOff>242887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D55967D-B3A0-3D87-8DF3-64129A470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361950</xdr:colOff>
      <xdr:row>26</xdr:row>
      <xdr:rowOff>4762</xdr:rowOff>
    </xdr:from>
    <xdr:to>
      <xdr:col>18</xdr:col>
      <xdr:colOff>361950</xdr:colOff>
      <xdr:row>42</xdr:row>
      <xdr:rowOff>157162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A2B37E7D-2682-70D2-C96A-0186F38BC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be/Downloads/Fecundidad_Medidas_Ejemp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sil"/>
      <sheetName val="Panamá"/>
      <sheetName val="Cuadro 1"/>
      <sheetName val="Cuadro 2"/>
      <sheetName val="Cuadros a, b, c y d"/>
      <sheetName val="TGF, TBR y TNR"/>
      <sheetName val="Sheet1"/>
    </sheetNames>
    <sheetDataSet>
      <sheetData sheetId="0"/>
      <sheetData sheetId="1"/>
      <sheetData sheetId="2"/>
      <sheetData sheetId="3"/>
      <sheetData sheetId="4"/>
      <sheetData sheetId="5">
        <row r="13">
          <cell r="I13">
            <v>0.80974496781592975</v>
          </cell>
        </row>
        <row r="14">
          <cell r="L14">
            <v>0.78345191122242097</v>
          </cell>
        </row>
        <row r="28">
          <cell r="I28">
            <v>1.2485703255341625</v>
          </cell>
        </row>
        <row r="29">
          <cell r="L29">
            <v>1.2105023606658065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zoomScaleNormal="100" workbookViewId="0">
      <selection activeCell="N11" sqref="N11"/>
    </sheetView>
  </sheetViews>
  <sheetFormatPr baseColWidth="10" defaultColWidth="11.42578125" defaultRowHeight="15" x14ac:dyDescent="0.25"/>
  <cols>
    <col min="1" max="4" width="10.42578125" style="4" customWidth="1"/>
    <col min="5" max="5" width="2.85546875" style="4" customWidth="1"/>
    <col min="6" max="9" width="10.42578125" style="4" customWidth="1"/>
    <col min="10" max="10" width="4" style="4" customWidth="1"/>
    <col min="11" max="11" width="10.140625" style="4" bestFit="1" customWidth="1"/>
    <col min="12" max="12" width="10.42578125" style="4" customWidth="1"/>
    <col min="13" max="13" width="16.85546875" style="4" customWidth="1"/>
    <col min="14" max="15" width="10.42578125" style="4" customWidth="1"/>
    <col min="16" max="16" width="15.28515625" bestFit="1" customWidth="1"/>
    <col min="22" max="22" width="14.140625" bestFit="1" customWidth="1"/>
  </cols>
  <sheetData>
    <row r="1" spans="1:18" s="3" customFormat="1" ht="28.5" customHeight="1" x14ac:dyDescent="0.25">
      <c r="A1" s="117" t="s">
        <v>38</v>
      </c>
      <c r="B1" s="117"/>
      <c r="C1" s="117"/>
      <c r="D1" s="117"/>
      <c r="E1" s="1"/>
      <c r="F1" s="117" t="s">
        <v>37</v>
      </c>
      <c r="G1" s="117"/>
      <c r="H1" s="117"/>
      <c r="I1" s="117"/>
      <c r="J1" s="2"/>
      <c r="L1" s="117" t="s">
        <v>36</v>
      </c>
      <c r="M1" s="117"/>
      <c r="N1" s="117"/>
      <c r="O1" s="117"/>
    </row>
    <row r="2" spans="1:18" x14ac:dyDescent="0.25">
      <c r="E2" s="5"/>
      <c r="L2" s="2"/>
      <c r="M2" s="2"/>
      <c r="N2" s="6"/>
      <c r="O2" s="6"/>
    </row>
    <row r="3" spans="1:18" ht="33" customHeight="1" x14ac:dyDescent="0.25">
      <c r="A3" s="7" t="s">
        <v>40</v>
      </c>
      <c r="E3" s="5"/>
      <c r="F3" s="8" t="s">
        <v>41</v>
      </c>
      <c r="L3" s="9" t="s">
        <v>0</v>
      </c>
      <c r="M3" s="10" t="s">
        <v>35</v>
      </c>
      <c r="N3" s="11" t="s">
        <v>1</v>
      </c>
      <c r="P3" s="118" t="s">
        <v>42</v>
      </c>
      <c r="Q3" s="118"/>
      <c r="R3" s="118"/>
    </row>
    <row r="4" spans="1:18" x14ac:dyDescent="0.25">
      <c r="L4" s="12" t="s">
        <v>2</v>
      </c>
      <c r="M4" s="13">
        <v>14662</v>
      </c>
      <c r="N4" s="14">
        <f>R17</f>
        <v>164495.41414710932</v>
      </c>
      <c r="P4" s="4"/>
      <c r="Q4" s="4"/>
      <c r="R4" s="4"/>
    </row>
    <row r="5" spans="1:18" ht="15" customHeight="1" x14ac:dyDescent="0.25">
      <c r="A5" s="119" t="s">
        <v>0</v>
      </c>
      <c r="B5" s="120" t="s">
        <v>35</v>
      </c>
      <c r="C5" s="120"/>
      <c r="D5" s="120"/>
      <c r="E5" s="5"/>
      <c r="F5" s="119" t="s">
        <v>0</v>
      </c>
      <c r="G5" s="120" t="s">
        <v>34</v>
      </c>
      <c r="H5" s="120"/>
      <c r="I5" s="120"/>
      <c r="J5" s="16"/>
      <c r="L5" s="12" t="s">
        <v>3</v>
      </c>
      <c r="M5" s="13">
        <v>19720</v>
      </c>
      <c r="N5" s="17">
        <f>R23</f>
        <v>147419.16003279763</v>
      </c>
      <c r="P5" s="18" t="s">
        <v>4</v>
      </c>
      <c r="Q5" s="18" t="s">
        <v>5</v>
      </c>
      <c r="R5" s="18" t="s">
        <v>6</v>
      </c>
    </row>
    <row r="6" spans="1:18" x14ac:dyDescent="0.25">
      <c r="A6" s="119"/>
      <c r="B6" s="10" t="s">
        <v>4</v>
      </c>
      <c r="C6" s="10" t="s">
        <v>5</v>
      </c>
      <c r="D6" s="10" t="s">
        <v>6</v>
      </c>
      <c r="E6" s="5"/>
      <c r="F6" s="119"/>
      <c r="G6" s="10" t="s">
        <v>4</v>
      </c>
      <c r="H6" s="10" t="s">
        <v>5</v>
      </c>
      <c r="I6" s="10" t="s">
        <v>6</v>
      </c>
      <c r="J6" s="16"/>
      <c r="L6" s="12" t="s">
        <v>7</v>
      </c>
      <c r="M6" s="13">
        <v>15058</v>
      </c>
      <c r="N6" s="17">
        <f>R29</f>
        <v>132745.78846523297</v>
      </c>
      <c r="P6" s="19">
        <v>33465</v>
      </c>
      <c r="Q6" s="19">
        <v>32313</v>
      </c>
      <c r="R6" s="19">
        <f>SUM(P6:Q6)</f>
        <v>65778</v>
      </c>
    </row>
    <row r="7" spans="1:18" x14ac:dyDescent="0.25">
      <c r="A7" s="20" t="s">
        <v>8</v>
      </c>
      <c r="B7" s="21">
        <v>168769</v>
      </c>
      <c r="C7" s="21">
        <v>164023</v>
      </c>
      <c r="D7" s="21">
        <f>SUM(B7:C7)</f>
        <v>332792</v>
      </c>
      <c r="E7" s="5"/>
      <c r="F7" s="20" t="s">
        <v>8</v>
      </c>
      <c r="G7" s="22">
        <v>147914</v>
      </c>
      <c r="H7" s="22">
        <v>143968</v>
      </c>
      <c r="I7" s="22">
        <f>SUM(G7:H7)</f>
        <v>291882</v>
      </c>
      <c r="J7" s="23"/>
      <c r="L7" s="12" t="s">
        <v>9</v>
      </c>
      <c r="M7" s="13">
        <v>9635</v>
      </c>
      <c r="N7" s="17">
        <f>R35</f>
        <v>131173.54420839273</v>
      </c>
      <c r="P7" s="24"/>
      <c r="Q7" s="24"/>
      <c r="R7" s="24"/>
    </row>
    <row r="8" spans="1:18" x14ac:dyDescent="0.25">
      <c r="A8" s="25" t="s">
        <v>10</v>
      </c>
      <c r="B8" s="26">
        <v>175855.91806615776</v>
      </c>
      <c r="C8" s="26">
        <v>169713.29364979092</v>
      </c>
      <c r="D8" s="21">
        <f t="shared" ref="D8:D24" si="0">SUM(B8:C8)</f>
        <v>345569.21171594865</v>
      </c>
      <c r="E8" s="5"/>
      <c r="F8" s="25" t="s">
        <v>10</v>
      </c>
      <c r="G8" s="27">
        <v>161514.20755466595</v>
      </c>
      <c r="H8" s="27">
        <v>156457.04966667923</v>
      </c>
      <c r="I8" s="22">
        <f t="shared" ref="I8:I24" si="1">SUM(G8:H8)</f>
        <v>317971.25722134521</v>
      </c>
      <c r="J8" s="23"/>
      <c r="L8" s="12" t="s">
        <v>11</v>
      </c>
      <c r="M8" s="13">
        <v>4748</v>
      </c>
      <c r="N8" s="17">
        <f>R41</f>
        <v>135604.43820000431</v>
      </c>
      <c r="P8" s="28" t="s">
        <v>12</v>
      </c>
      <c r="Q8" s="29">
        <f>Q6/R6</f>
        <v>0.49124327282678099</v>
      </c>
      <c r="R8" s="4"/>
    </row>
    <row r="9" spans="1:18" x14ac:dyDescent="0.25">
      <c r="A9" s="25" t="s">
        <v>13</v>
      </c>
      <c r="B9" s="26">
        <v>169947.18727735369</v>
      </c>
      <c r="C9" s="26">
        <v>164892.68419817707</v>
      </c>
      <c r="D9" s="21">
        <f t="shared" si="0"/>
        <v>334839.87147553079</v>
      </c>
      <c r="E9" s="5"/>
      <c r="F9" s="25" t="s">
        <v>13</v>
      </c>
      <c r="G9" s="27">
        <v>169964.58856686644</v>
      </c>
      <c r="H9" s="27">
        <v>164433.21282376113</v>
      </c>
      <c r="I9" s="22">
        <f t="shared" si="1"/>
        <v>334397.80139062757</v>
      </c>
      <c r="J9" s="23"/>
      <c r="L9" s="12" t="s">
        <v>14</v>
      </c>
      <c r="M9" s="13">
        <v>1050</v>
      </c>
      <c r="N9" s="17">
        <f>R47</f>
        <v>116382.70023539194</v>
      </c>
    </row>
    <row r="10" spans="1:18" x14ac:dyDescent="0.25">
      <c r="A10" s="30" t="s">
        <v>2</v>
      </c>
      <c r="B10" s="26">
        <v>167614.84783715013</v>
      </c>
      <c r="C10" s="31">
        <v>164515.28461330204</v>
      </c>
      <c r="D10" s="21">
        <f t="shared" si="0"/>
        <v>332130.13245045219</v>
      </c>
      <c r="E10" s="5"/>
      <c r="F10" s="30" t="s">
        <v>2</v>
      </c>
      <c r="G10" s="27">
        <v>166284.01825288418</v>
      </c>
      <c r="H10" s="32">
        <v>160716.68152355801</v>
      </c>
      <c r="I10" s="22">
        <f t="shared" si="1"/>
        <v>327000.6997764422</v>
      </c>
      <c r="J10" s="23"/>
      <c r="L10" s="33" t="s">
        <v>15</v>
      </c>
      <c r="M10" s="13">
        <v>130</v>
      </c>
      <c r="N10" s="34">
        <f>R53</f>
        <v>96841.766981557957</v>
      </c>
      <c r="R10">
        <f>M11/R6</f>
        <v>0.98821794520964457</v>
      </c>
    </row>
    <row r="11" spans="1:18" x14ac:dyDescent="0.25">
      <c r="A11" s="30" t="s">
        <v>3</v>
      </c>
      <c r="B11" s="26">
        <v>147463.47633587787</v>
      </c>
      <c r="C11" s="31">
        <v>147370.41330806486</v>
      </c>
      <c r="D11" s="21">
        <f t="shared" si="0"/>
        <v>294833.8896439427</v>
      </c>
      <c r="E11" s="5"/>
      <c r="F11" s="30" t="s">
        <v>3</v>
      </c>
      <c r="G11" s="27">
        <v>157605.16731648333</v>
      </c>
      <c r="H11" s="32">
        <v>157104.3614002816</v>
      </c>
      <c r="I11" s="22">
        <f t="shared" si="1"/>
        <v>314709.52871676494</v>
      </c>
      <c r="J11" s="23"/>
      <c r="L11" s="35" t="s">
        <v>6</v>
      </c>
      <c r="M11" s="36">
        <f>SUM(M4:M10)</f>
        <v>65003</v>
      </c>
      <c r="N11" s="37">
        <f>SUM(N4:N10)</f>
        <v>924662.81227048684</v>
      </c>
    </row>
    <row r="12" spans="1:18" x14ac:dyDescent="0.25">
      <c r="A12" s="30" t="s">
        <v>7</v>
      </c>
      <c r="B12" s="26">
        <v>130372.72010178117</v>
      </c>
      <c r="C12" s="31">
        <v>132658.01637637999</v>
      </c>
      <c r="D12" s="21">
        <f t="shared" si="0"/>
        <v>263030.73647816118</v>
      </c>
      <c r="E12" s="5"/>
      <c r="F12" s="30" t="s">
        <v>7</v>
      </c>
      <c r="G12" s="27">
        <v>148148.71698894439</v>
      </c>
      <c r="H12" s="32">
        <v>150760.50600486886</v>
      </c>
      <c r="I12" s="22">
        <f t="shared" si="1"/>
        <v>298909.22299381322</v>
      </c>
      <c r="J12" s="23"/>
      <c r="L12" s="24" t="s">
        <v>16</v>
      </c>
    </row>
    <row r="13" spans="1:18" x14ac:dyDescent="0.25">
      <c r="A13" s="30" t="s">
        <v>9</v>
      </c>
      <c r="B13" s="26">
        <v>128053.79083969466</v>
      </c>
      <c r="C13" s="31">
        <v>131127.7951087447</v>
      </c>
      <c r="D13" s="21">
        <f t="shared" si="0"/>
        <v>259181.58594843937</v>
      </c>
      <c r="E13" s="5"/>
      <c r="F13" s="30" t="s">
        <v>9</v>
      </c>
      <c r="G13" s="27">
        <v>135928.58222743782</v>
      </c>
      <c r="H13" s="32">
        <v>140279.26647935671</v>
      </c>
      <c r="I13" s="22">
        <f t="shared" si="1"/>
        <v>276207.84870679455</v>
      </c>
      <c r="J13" s="23"/>
      <c r="M13" s="38"/>
    </row>
    <row r="14" spans="1:18" x14ac:dyDescent="0.25">
      <c r="A14" s="30" t="s">
        <v>11</v>
      </c>
      <c r="B14" s="26">
        <v>132500.81221374046</v>
      </c>
      <c r="C14" s="31">
        <v>135616.37541738112</v>
      </c>
      <c r="D14" s="21">
        <f t="shared" si="0"/>
        <v>268117.1876311216</v>
      </c>
      <c r="E14" s="5"/>
      <c r="F14" s="30" t="s">
        <v>11</v>
      </c>
      <c r="G14" s="27">
        <v>130881.20061253756</v>
      </c>
      <c r="H14" s="32">
        <v>133327.17854168912</v>
      </c>
      <c r="I14" s="22">
        <f t="shared" si="1"/>
        <v>264208.37915422668</v>
      </c>
      <c r="J14" s="23"/>
      <c r="K14" s="114" t="s">
        <v>17</v>
      </c>
      <c r="L14" s="114"/>
      <c r="M14" s="114"/>
      <c r="N14" s="114"/>
      <c r="O14" s="114"/>
      <c r="P14" s="114"/>
      <c r="Q14" s="114"/>
      <c r="R14" s="114"/>
    </row>
    <row r="15" spans="1:18" ht="15.75" thickBot="1" x14ac:dyDescent="0.3">
      <c r="A15" s="30" t="s">
        <v>14</v>
      </c>
      <c r="B15" s="26">
        <v>113412.9709923664</v>
      </c>
      <c r="C15" s="31">
        <v>116325.6884396715</v>
      </c>
      <c r="D15" s="21">
        <f t="shared" si="0"/>
        <v>229738.65943203791</v>
      </c>
      <c r="E15" s="5"/>
      <c r="F15" s="30" t="s">
        <v>14</v>
      </c>
      <c r="G15" s="27">
        <v>124610.30242988007</v>
      </c>
      <c r="H15" s="32">
        <v>127888.15673055337</v>
      </c>
      <c r="I15" s="22">
        <f t="shared" si="1"/>
        <v>252498.45916043344</v>
      </c>
      <c r="J15" s="23"/>
      <c r="K15" s="39" t="s">
        <v>2</v>
      </c>
      <c r="L15" s="40"/>
      <c r="M15" s="40"/>
      <c r="N15" s="40"/>
      <c r="O15"/>
      <c r="P15" s="40"/>
      <c r="Q15" s="40"/>
      <c r="R15" s="40"/>
    </row>
    <row r="16" spans="1:18" ht="18" thickBot="1" x14ac:dyDescent="0.3">
      <c r="A16" s="30" t="s">
        <v>15</v>
      </c>
      <c r="B16" s="26">
        <v>92182.595928753188</v>
      </c>
      <c r="C16" s="31">
        <v>96711.221490238546</v>
      </c>
      <c r="D16" s="21">
        <f t="shared" si="0"/>
        <v>188893.81741899173</v>
      </c>
      <c r="E16" s="5"/>
      <c r="F16" s="30" t="s">
        <v>15</v>
      </c>
      <c r="G16" s="27">
        <v>123492.00227458353</v>
      </c>
      <c r="H16" s="32">
        <v>125538.3950969658</v>
      </c>
      <c r="I16" s="22">
        <f t="shared" si="1"/>
        <v>249030.39737154933</v>
      </c>
      <c r="J16" s="23"/>
      <c r="K16" s="41" t="s">
        <v>18</v>
      </c>
      <c r="L16" s="41" t="s">
        <v>19</v>
      </c>
      <c r="M16" s="41" t="s">
        <v>20</v>
      </c>
      <c r="N16" s="41" t="s">
        <v>21</v>
      </c>
      <c r="O16"/>
      <c r="P16" s="41" t="s">
        <v>19</v>
      </c>
      <c r="Q16" s="42" t="s">
        <v>22</v>
      </c>
      <c r="R16" s="43" t="s">
        <v>23</v>
      </c>
    </row>
    <row r="17" spans="1:18" x14ac:dyDescent="0.25">
      <c r="A17" s="30" t="s">
        <v>24</v>
      </c>
      <c r="B17" s="26">
        <v>74259.377099236648</v>
      </c>
      <c r="C17" s="26">
        <v>79481.796179646844</v>
      </c>
      <c r="D17" s="21">
        <f t="shared" si="0"/>
        <v>153741.17327888351</v>
      </c>
      <c r="E17" s="5"/>
      <c r="F17" s="30" t="s">
        <v>24</v>
      </c>
      <c r="G17" s="27">
        <v>107825.7794897214</v>
      </c>
      <c r="H17" s="27">
        <v>112554.08326411816</v>
      </c>
      <c r="I17" s="22">
        <f t="shared" si="1"/>
        <v>220379.86275383958</v>
      </c>
      <c r="J17" s="23"/>
      <c r="K17" s="44">
        <v>40518</v>
      </c>
      <c r="L17" s="45">
        <v>2010.4495433789955</v>
      </c>
      <c r="M17" s="46">
        <f>C10</f>
        <v>164515.28461330204</v>
      </c>
      <c r="N17" s="108">
        <f>LN(M18/M17)/L19</f>
        <v>-2.3939213001183865E-3</v>
      </c>
      <c r="O17"/>
      <c r="P17" s="110">
        <f>2010+6/12+0/365</f>
        <v>2010.5</v>
      </c>
      <c r="Q17" s="110">
        <f>P17-L17</f>
        <v>5.0456621004514091E-2</v>
      </c>
      <c r="R17" s="112">
        <f>M17*EXP($N$17*Q17)</f>
        <v>164495.41414710932</v>
      </c>
    </row>
    <row r="18" spans="1:18" ht="15.75" thickBot="1" x14ac:dyDescent="0.3">
      <c r="A18" s="30" t="s">
        <v>25</v>
      </c>
      <c r="B18" s="26">
        <v>53961.525190839697</v>
      </c>
      <c r="C18" s="26">
        <v>58049.418115091896</v>
      </c>
      <c r="D18" s="21">
        <f t="shared" si="0"/>
        <v>112010.94330593159</v>
      </c>
      <c r="E18" s="5"/>
      <c r="F18" s="30" t="s">
        <v>25</v>
      </c>
      <c r="G18" s="27">
        <v>84201.187678546426</v>
      </c>
      <c r="H18" s="27">
        <v>89792.959380560991</v>
      </c>
      <c r="I18" s="22">
        <f t="shared" si="1"/>
        <v>173994.14705910743</v>
      </c>
      <c r="J18" s="23"/>
      <c r="K18" s="47" t="s">
        <v>39</v>
      </c>
      <c r="L18" s="48">
        <v>2020.2077625570778</v>
      </c>
      <c r="M18" s="49">
        <f>H10</f>
        <v>160716.68152355801</v>
      </c>
      <c r="N18" s="109"/>
      <c r="O18"/>
      <c r="P18" s="111"/>
      <c r="Q18" s="111"/>
      <c r="R18" s="113"/>
    </row>
    <row r="19" spans="1:18" ht="15.75" thickBot="1" x14ac:dyDescent="0.3">
      <c r="A19" s="30" t="s">
        <v>26</v>
      </c>
      <c r="B19" s="26">
        <v>43876.039694656487</v>
      </c>
      <c r="C19" s="26">
        <v>48472.130289083419</v>
      </c>
      <c r="D19" s="21">
        <f t="shared" si="0"/>
        <v>92348.169983739906</v>
      </c>
      <c r="E19" s="5"/>
      <c r="F19" s="30" t="s">
        <v>26</v>
      </c>
      <c r="G19" s="27">
        <v>66667.12305723918</v>
      </c>
      <c r="H19" s="27">
        <v>74481.932616715349</v>
      </c>
      <c r="I19" s="22">
        <f t="shared" si="1"/>
        <v>141149.05567395454</v>
      </c>
      <c r="J19" s="23"/>
      <c r="K19" s="50" t="s">
        <v>22</v>
      </c>
      <c r="L19" s="51">
        <f>L18-L17</f>
        <v>9.7582191780822995</v>
      </c>
      <c r="O19"/>
    </row>
    <row r="20" spans="1:18" x14ac:dyDescent="0.25">
      <c r="A20" s="30" t="s">
        <v>27</v>
      </c>
      <c r="B20" s="17">
        <v>33846.258015267173</v>
      </c>
      <c r="C20" s="26">
        <v>37119.208350630208</v>
      </c>
      <c r="D20" s="21">
        <f t="shared" si="0"/>
        <v>70965.466365897388</v>
      </c>
      <c r="E20" s="5"/>
      <c r="F20" s="30" t="s">
        <v>27</v>
      </c>
      <c r="G20" s="27">
        <v>47350.391790526424</v>
      </c>
      <c r="H20" s="27">
        <v>53800.022118955261</v>
      </c>
      <c r="I20" s="22">
        <f t="shared" si="1"/>
        <v>101150.41390948169</v>
      </c>
      <c r="J20" s="23"/>
      <c r="N20"/>
      <c r="O20"/>
    </row>
    <row r="21" spans="1:18" ht="15.75" thickBot="1" x14ac:dyDescent="0.3">
      <c r="A21" s="30" t="s">
        <v>28</v>
      </c>
      <c r="B21" s="26">
        <v>27101.969974554708</v>
      </c>
      <c r="C21" s="26">
        <v>29022.646764732424</v>
      </c>
      <c r="D21" s="21">
        <f t="shared" si="0"/>
        <v>56124.616739287128</v>
      </c>
      <c r="E21" s="5"/>
      <c r="F21" s="30" t="s">
        <v>28</v>
      </c>
      <c r="G21" s="27">
        <v>34257.46183613161</v>
      </c>
      <c r="H21" s="27">
        <v>39911.878732377998</v>
      </c>
      <c r="I21" s="22">
        <f t="shared" si="1"/>
        <v>74169.340568509608</v>
      </c>
      <c r="J21" s="23"/>
      <c r="K21" s="39" t="s">
        <v>3</v>
      </c>
      <c r="L21" s="40"/>
      <c r="M21" s="40"/>
      <c r="N21" s="40"/>
      <c r="O21"/>
      <c r="P21" s="40"/>
      <c r="Q21" s="40"/>
      <c r="R21" s="40"/>
    </row>
    <row r="22" spans="1:18" ht="14.45" customHeight="1" thickBot="1" x14ac:dyDescent="0.3">
      <c r="A22" s="30" t="s">
        <v>29</v>
      </c>
      <c r="B22" s="26">
        <v>17065.998982188295</v>
      </c>
      <c r="C22" s="26">
        <v>18397.714189453418</v>
      </c>
      <c r="D22" s="21">
        <f t="shared" si="0"/>
        <v>35463.713171641713</v>
      </c>
      <c r="F22" s="30" t="s">
        <v>29</v>
      </c>
      <c r="G22" s="27">
        <v>23521.379520856386</v>
      </c>
      <c r="H22" s="27">
        <v>26846.402425193224</v>
      </c>
      <c r="I22" s="22">
        <f t="shared" si="1"/>
        <v>50367.78194604961</v>
      </c>
      <c r="J22" s="23"/>
      <c r="K22" s="41" t="s">
        <v>18</v>
      </c>
      <c r="L22" s="41" t="s">
        <v>19</v>
      </c>
      <c r="M22" s="41" t="s">
        <v>20</v>
      </c>
      <c r="N22" s="41" t="s">
        <v>21</v>
      </c>
      <c r="O22"/>
      <c r="P22" s="41" t="s">
        <v>19</v>
      </c>
      <c r="Q22" s="42" t="s">
        <v>22</v>
      </c>
      <c r="R22" s="43" t="s">
        <v>23</v>
      </c>
    </row>
    <row r="23" spans="1:18" x14ac:dyDescent="0.25">
      <c r="A23" s="30" t="s">
        <v>30</v>
      </c>
      <c r="B23" s="26">
        <v>9732.6946564885493</v>
      </c>
      <c r="C23" s="26">
        <v>11619.98885780465</v>
      </c>
      <c r="D23" s="21">
        <f t="shared" si="0"/>
        <v>21352.6835142932</v>
      </c>
      <c r="F23" s="30" t="s">
        <v>30</v>
      </c>
      <c r="G23" s="27">
        <v>14302.417667157295</v>
      </c>
      <c r="H23" s="27">
        <v>17148.750787726069</v>
      </c>
      <c r="I23" s="22">
        <f t="shared" si="1"/>
        <v>31451.168454883365</v>
      </c>
      <c r="J23" s="23"/>
      <c r="K23" s="44">
        <f>K17</f>
        <v>40518</v>
      </c>
      <c r="L23" s="45">
        <f>L17</f>
        <v>2010.4495433789955</v>
      </c>
      <c r="M23" s="46">
        <f>C11</f>
        <v>147370.41330806486</v>
      </c>
      <c r="N23" s="108">
        <f>LN(M24/M23)/L25</f>
        <v>6.5545843830928704E-3</v>
      </c>
      <c r="O23"/>
      <c r="P23" s="110">
        <f>P17</f>
        <v>2010.5</v>
      </c>
      <c r="Q23" s="110">
        <f>P23-L23</f>
        <v>5.0456621004514091E-2</v>
      </c>
      <c r="R23" s="112">
        <f>M23*EXP($N$23*Q23)</f>
        <v>147419.16003279763</v>
      </c>
    </row>
    <row r="24" spans="1:18" ht="15.75" thickBot="1" x14ac:dyDescent="0.3">
      <c r="A24" s="30" t="s">
        <v>31</v>
      </c>
      <c r="B24" s="26">
        <v>6527.6620865139948</v>
      </c>
      <c r="C24" s="26">
        <v>8802.8968745299753</v>
      </c>
      <c r="D24" s="21">
        <f t="shared" si="0"/>
        <v>15330.558961043971</v>
      </c>
      <c r="F24" s="30" t="s">
        <v>31</v>
      </c>
      <c r="G24" s="27">
        <v>9353.2380372203588</v>
      </c>
      <c r="H24" s="27">
        <v>13038.421482405727</v>
      </c>
      <c r="I24" s="22">
        <f t="shared" si="1"/>
        <v>22391.659519626086</v>
      </c>
      <c r="J24" s="23"/>
      <c r="K24" s="47" t="str">
        <f>K18</f>
        <v>15/03/2020</v>
      </c>
      <c r="L24" s="48">
        <f>L18</f>
        <v>2020.2077625570778</v>
      </c>
      <c r="M24" s="49">
        <f>H11</f>
        <v>157104.3614002816</v>
      </c>
      <c r="N24" s="109"/>
      <c r="O24"/>
      <c r="P24" s="111"/>
      <c r="Q24" s="111"/>
      <c r="R24" s="113"/>
    </row>
    <row r="25" spans="1:18" ht="15.75" thickBot="1" x14ac:dyDescent="0.3">
      <c r="A25" s="52" t="s">
        <v>32</v>
      </c>
      <c r="B25" s="53">
        <f>SUM(B7:B24)</f>
        <v>1692544.8452926208</v>
      </c>
      <c r="C25" s="53">
        <f>SUM(C7:C24)</f>
        <v>1713919.5722227236</v>
      </c>
      <c r="D25" s="54">
        <f>SUM(B25:C25)</f>
        <v>3406464.4175153445</v>
      </c>
      <c r="F25" s="52" t="s">
        <v>32</v>
      </c>
      <c r="G25" s="55">
        <f>SUM(G7:G24)</f>
        <v>1853821.7653016823</v>
      </c>
      <c r="H25" s="55">
        <f>SUM(H7:H24)</f>
        <v>1888047.2590757664</v>
      </c>
      <c r="I25" s="56">
        <f>SUM(G25:H25)</f>
        <v>3741869.0243774485</v>
      </c>
      <c r="J25" s="23"/>
      <c r="K25" s="50" t="s">
        <v>22</v>
      </c>
      <c r="L25" s="51">
        <f>L24-L23</f>
        <v>9.7582191780822995</v>
      </c>
      <c r="O25"/>
    </row>
    <row r="26" spans="1:18" x14ac:dyDescent="0.25">
      <c r="J26" s="57"/>
      <c r="N26"/>
      <c r="O26"/>
    </row>
    <row r="27" spans="1:18" ht="15.75" thickBot="1" x14ac:dyDescent="0.3">
      <c r="A27" s="58"/>
      <c r="B27" s="58"/>
      <c r="C27" s="58"/>
      <c r="K27" s="39" t="s">
        <v>7</v>
      </c>
      <c r="L27" s="40"/>
      <c r="M27" s="40"/>
      <c r="N27" s="40"/>
      <c r="O27"/>
      <c r="P27" s="40"/>
      <c r="Q27" s="40"/>
      <c r="R27" s="40"/>
    </row>
    <row r="28" spans="1:18" ht="18" thickBot="1" x14ac:dyDescent="0.3">
      <c r="K28" s="41" t="s">
        <v>18</v>
      </c>
      <c r="L28" s="41" t="s">
        <v>19</v>
      </c>
      <c r="M28" s="41" t="s">
        <v>20</v>
      </c>
      <c r="N28" s="41" t="s">
        <v>21</v>
      </c>
      <c r="O28"/>
      <c r="P28" s="41" t="s">
        <v>19</v>
      </c>
      <c r="Q28" s="42" t="s">
        <v>22</v>
      </c>
      <c r="R28" s="43" t="s">
        <v>23</v>
      </c>
    </row>
    <row r="29" spans="1:18" x14ac:dyDescent="0.25">
      <c r="A29" s="114" t="s">
        <v>33</v>
      </c>
      <c r="B29" s="114"/>
      <c r="C29" s="114"/>
      <c r="D29" s="114"/>
      <c r="E29" s="114"/>
      <c r="F29" s="114"/>
      <c r="G29" s="114"/>
      <c r="H29" s="114"/>
      <c r="K29" s="44">
        <f>K23</f>
        <v>40518</v>
      </c>
      <c r="L29" s="45">
        <f>L23</f>
        <v>2010.4495433789955</v>
      </c>
      <c r="M29" s="46">
        <f>C12</f>
        <v>132658.01637637999</v>
      </c>
      <c r="N29" s="108">
        <f>LN(M30/M29)/L31</f>
        <v>1.3108745675999747E-2</v>
      </c>
      <c r="O29"/>
      <c r="P29" s="110">
        <f>P23</f>
        <v>2010.5</v>
      </c>
      <c r="Q29" s="110">
        <f>P29-L29</f>
        <v>5.0456621004514091E-2</v>
      </c>
      <c r="R29" s="112">
        <f>M29*EXP($N$29*Q29)</f>
        <v>132745.78846523297</v>
      </c>
    </row>
    <row r="30" spans="1:18" ht="15.75" thickBot="1" x14ac:dyDescent="0.3">
      <c r="A30" s="39"/>
      <c r="B30" s="40"/>
      <c r="C30" s="40"/>
      <c r="D30" s="40"/>
      <c r="E30"/>
      <c r="F30" s="40"/>
      <c r="G30" s="40"/>
      <c r="H30" s="40"/>
      <c r="K30" s="47" t="str">
        <f>K24</f>
        <v>15/03/2020</v>
      </c>
      <c r="L30" s="48">
        <f>L24</f>
        <v>2020.2077625570778</v>
      </c>
      <c r="M30" s="49">
        <f>H12</f>
        <v>150760.50600486886</v>
      </c>
      <c r="N30" s="109"/>
      <c r="O30"/>
      <c r="P30" s="111"/>
      <c r="Q30" s="111"/>
      <c r="R30" s="113"/>
    </row>
    <row r="31" spans="1:18" ht="18" thickBot="1" x14ac:dyDescent="0.3">
      <c r="A31" s="41" t="s">
        <v>18</v>
      </c>
      <c r="B31" s="41" t="s">
        <v>19</v>
      </c>
      <c r="C31" s="41" t="s">
        <v>20</v>
      </c>
      <c r="D31" s="41" t="s">
        <v>21</v>
      </c>
      <c r="E31"/>
      <c r="F31" s="41" t="s">
        <v>19</v>
      </c>
      <c r="G31" s="42" t="s">
        <v>22</v>
      </c>
      <c r="H31" s="43" t="s">
        <v>23</v>
      </c>
      <c r="K31" s="50" t="s">
        <v>22</v>
      </c>
      <c r="L31" s="51">
        <f>L30-L29</f>
        <v>9.7582191780822995</v>
      </c>
      <c r="O31"/>
    </row>
    <row r="32" spans="1:18" x14ac:dyDescent="0.25">
      <c r="A32" s="44">
        <v>40518</v>
      </c>
      <c r="B32" s="45">
        <v>2010.4495433789955</v>
      </c>
      <c r="C32" s="46">
        <f>D25</f>
        <v>3406464.4175153445</v>
      </c>
      <c r="D32" s="108">
        <f>LN(C33/C32)/B34</f>
        <v>9.6237129247992333E-3</v>
      </c>
      <c r="E32"/>
      <c r="F32" s="110">
        <f>2010+6/12+0/365</f>
        <v>2010.5</v>
      </c>
      <c r="G32" s="110">
        <f>F32-B32</f>
        <v>5.0456621004514091E-2</v>
      </c>
      <c r="H32" s="115">
        <f>C32*EXP($D$32*G32)</f>
        <v>3408118.9302955</v>
      </c>
      <c r="N32"/>
      <c r="O32"/>
    </row>
    <row r="33" spans="1:18" ht="15.75" thickBot="1" x14ac:dyDescent="0.3">
      <c r="A33" s="47" t="s">
        <v>39</v>
      </c>
      <c r="B33" s="48">
        <v>2020.2077625570778</v>
      </c>
      <c r="C33" s="49">
        <f>I25</f>
        <v>3741869.0243774485</v>
      </c>
      <c r="D33" s="109"/>
      <c r="E33"/>
      <c r="F33" s="111"/>
      <c r="G33" s="111"/>
      <c r="H33" s="116"/>
      <c r="K33" s="39" t="s">
        <v>9</v>
      </c>
      <c r="L33" s="40"/>
      <c r="M33" s="40"/>
      <c r="N33" s="40"/>
      <c r="O33"/>
      <c r="P33" s="40"/>
      <c r="Q33" s="40"/>
      <c r="R33" s="40"/>
    </row>
    <row r="34" spans="1:18" ht="18" thickBot="1" x14ac:dyDescent="0.3">
      <c r="A34" s="50" t="s">
        <v>22</v>
      </c>
      <c r="B34" s="51">
        <f>B33-B32</f>
        <v>9.7582191780822995</v>
      </c>
      <c r="E34"/>
      <c r="F34"/>
      <c r="G34"/>
      <c r="H34"/>
      <c r="K34" s="41" t="s">
        <v>18</v>
      </c>
      <c r="L34" s="41" t="s">
        <v>19</v>
      </c>
      <c r="M34" s="41" t="s">
        <v>20</v>
      </c>
      <c r="N34" s="41" t="s">
        <v>21</v>
      </c>
      <c r="O34"/>
      <c r="P34" s="41" t="s">
        <v>19</v>
      </c>
      <c r="Q34" s="42" t="s">
        <v>22</v>
      </c>
      <c r="R34" s="43" t="s">
        <v>23</v>
      </c>
    </row>
    <row r="35" spans="1:18" x14ac:dyDescent="0.25">
      <c r="K35" s="44">
        <f>K29</f>
        <v>40518</v>
      </c>
      <c r="L35" s="45">
        <f>L29</f>
        <v>2010.4495433789955</v>
      </c>
      <c r="M35" s="46">
        <f>C13</f>
        <v>131127.7951087447</v>
      </c>
      <c r="N35" s="108">
        <f>LN(M36/M35)/L37</f>
        <v>6.91343494081555E-3</v>
      </c>
      <c r="O35"/>
      <c r="P35" s="110">
        <f>P29</f>
        <v>2010.5</v>
      </c>
      <c r="Q35" s="110">
        <f>P35-L35</f>
        <v>5.0456621004514091E-2</v>
      </c>
      <c r="R35" s="112">
        <f>M35*EXP($N$35*Q35)</f>
        <v>131173.54420839273</v>
      </c>
    </row>
    <row r="36" spans="1:18" ht="15.75" thickBot="1" x14ac:dyDescent="0.3">
      <c r="K36" s="47" t="str">
        <f>K30</f>
        <v>15/03/2020</v>
      </c>
      <c r="L36" s="48">
        <f>L30</f>
        <v>2020.2077625570778</v>
      </c>
      <c r="M36" s="49">
        <f>H13</f>
        <v>140279.26647935671</v>
      </c>
      <c r="N36" s="109"/>
      <c r="O36"/>
      <c r="P36" s="111"/>
      <c r="Q36" s="111"/>
      <c r="R36" s="113"/>
    </row>
    <row r="37" spans="1:18" ht="15.75" thickBot="1" x14ac:dyDescent="0.3">
      <c r="K37" s="50" t="s">
        <v>22</v>
      </c>
      <c r="L37" s="51">
        <f>L36-L35</f>
        <v>9.7582191780822995</v>
      </c>
      <c r="O37"/>
    </row>
    <row r="38" spans="1:18" x14ac:dyDescent="0.25">
      <c r="N38"/>
      <c r="O38"/>
    </row>
    <row r="39" spans="1:18" ht="15.75" thickBot="1" x14ac:dyDescent="0.3">
      <c r="K39" s="39" t="s">
        <v>11</v>
      </c>
      <c r="L39" s="40"/>
      <c r="M39" s="40"/>
      <c r="N39" s="40"/>
      <c r="O39"/>
      <c r="P39" s="40"/>
      <c r="Q39" s="40"/>
      <c r="R39" s="40"/>
    </row>
    <row r="40" spans="1:18" ht="18" thickBot="1" x14ac:dyDescent="0.3">
      <c r="K40" s="41" t="s">
        <v>18</v>
      </c>
      <c r="L40" s="41" t="s">
        <v>19</v>
      </c>
      <c r="M40" s="41" t="s">
        <v>20</v>
      </c>
      <c r="N40" s="41" t="s">
        <v>21</v>
      </c>
      <c r="O40"/>
      <c r="P40" s="41" t="s">
        <v>19</v>
      </c>
      <c r="Q40" s="42" t="s">
        <v>22</v>
      </c>
      <c r="R40" s="43" t="s">
        <v>23</v>
      </c>
    </row>
    <row r="41" spans="1:18" x14ac:dyDescent="0.25">
      <c r="K41" s="44">
        <f>K35</f>
        <v>40518</v>
      </c>
      <c r="L41" s="45">
        <f>L35</f>
        <v>2010.4495433789955</v>
      </c>
      <c r="M41" s="46">
        <f>C14</f>
        <v>135616.37541738112</v>
      </c>
      <c r="N41" s="108">
        <f>LN(M42/M41)/L43</f>
        <v>-1.7445841431056868E-3</v>
      </c>
      <c r="O41"/>
      <c r="P41" s="110">
        <f>P35</f>
        <v>2010.5</v>
      </c>
      <c r="Q41" s="110">
        <f>P41-L41</f>
        <v>5.0456621004514091E-2</v>
      </c>
      <c r="R41" s="112">
        <f>M41*EXP($N$41*Q41)</f>
        <v>135604.43820000431</v>
      </c>
    </row>
    <row r="42" spans="1:18" ht="15.75" thickBot="1" x14ac:dyDescent="0.3">
      <c r="K42" s="47" t="str">
        <f>K36</f>
        <v>15/03/2020</v>
      </c>
      <c r="L42" s="48">
        <f>L36</f>
        <v>2020.2077625570778</v>
      </c>
      <c r="M42" s="49">
        <f>H14</f>
        <v>133327.17854168912</v>
      </c>
      <c r="N42" s="109"/>
      <c r="O42"/>
      <c r="P42" s="111"/>
      <c r="Q42" s="111"/>
      <c r="R42" s="113"/>
    </row>
    <row r="43" spans="1:18" ht="15.75" thickBot="1" x14ac:dyDescent="0.3">
      <c r="K43" s="50" t="s">
        <v>22</v>
      </c>
      <c r="L43" s="51">
        <f>L42-L41</f>
        <v>9.7582191780822995</v>
      </c>
      <c r="O43"/>
    </row>
    <row r="44" spans="1:18" x14ac:dyDescent="0.25">
      <c r="N44"/>
      <c r="O44"/>
    </row>
    <row r="45" spans="1:18" ht="15.75" thickBot="1" x14ac:dyDescent="0.3">
      <c r="K45" s="39" t="s">
        <v>14</v>
      </c>
      <c r="L45" s="40"/>
      <c r="M45" s="40"/>
      <c r="N45" s="40"/>
      <c r="O45"/>
      <c r="P45" s="40"/>
      <c r="Q45" s="40"/>
      <c r="R45" s="40"/>
    </row>
    <row r="46" spans="1:18" ht="18" thickBot="1" x14ac:dyDescent="0.3">
      <c r="K46" s="41" t="s">
        <v>18</v>
      </c>
      <c r="L46" s="41" t="s">
        <v>19</v>
      </c>
      <c r="M46" s="41" t="s">
        <v>20</v>
      </c>
      <c r="N46" s="41" t="s">
        <v>21</v>
      </c>
      <c r="O46"/>
      <c r="P46" s="41" t="s">
        <v>19</v>
      </c>
      <c r="Q46" s="42" t="s">
        <v>22</v>
      </c>
      <c r="R46" s="43" t="s">
        <v>23</v>
      </c>
    </row>
    <row r="47" spans="1:18" x14ac:dyDescent="0.25">
      <c r="K47" s="44">
        <f>K41</f>
        <v>40518</v>
      </c>
      <c r="L47" s="45">
        <f>L41</f>
        <v>2010.4495433789955</v>
      </c>
      <c r="M47" s="46">
        <f>C15</f>
        <v>116325.6884396715</v>
      </c>
      <c r="N47" s="108">
        <f>LN(M48/M47)/L49</f>
        <v>9.7110127090477665E-3</v>
      </c>
      <c r="O47"/>
      <c r="P47" s="110">
        <f>P41</f>
        <v>2010.5</v>
      </c>
      <c r="Q47" s="110">
        <f>P47-L47</f>
        <v>5.0456621004514091E-2</v>
      </c>
      <c r="R47" s="112">
        <f>M47*EXP($N$47*Q47)</f>
        <v>116382.70023539194</v>
      </c>
    </row>
    <row r="48" spans="1:18" ht="15.75" thickBot="1" x14ac:dyDescent="0.3">
      <c r="K48" s="47" t="str">
        <f>K42</f>
        <v>15/03/2020</v>
      </c>
      <c r="L48" s="48">
        <f>L42</f>
        <v>2020.2077625570778</v>
      </c>
      <c r="M48" s="49">
        <f>H15</f>
        <v>127888.15673055337</v>
      </c>
      <c r="N48" s="109"/>
      <c r="O48"/>
      <c r="P48" s="111"/>
      <c r="Q48" s="111"/>
      <c r="R48" s="113"/>
    </row>
    <row r="49" spans="11:18" ht="15.75" thickBot="1" x14ac:dyDescent="0.3">
      <c r="K49" s="50" t="s">
        <v>22</v>
      </c>
      <c r="L49" s="51">
        <f>L48-L47</f>
        <v>9.7582191780822995</v>
      </c>
      <c r="O49"/>
    </row>
    <row r="50" spans="11:18" x14ac:dyDescent="0.25">
      <c r="N50"/>
      <c r="O50"/>
    </row>
    <row r="51" spans="11:18" ht="15.75" thickBot="1" x14ac:dyDescent="0.3">
      <c r="K51" s="39" t="s">
        <v>15</v>
      </c>
      <c r="L51" s="40"/>
      <c r="M51" s="40"/>
      <c r="N51" s="40"/>
      <c r="O51"/>
      <c r="P51" s="40"/>
      <c r="Q51" s="40"/>
      <c r="R51" s="40"/>
    </row>
    <row r="52" spans="11:18" ht="18" thickBot="1" x14ac:dyDescent="0.3">
      <c r="K52" s="41" t="s">
        <v>18</v>
      </c>
      <c r="L52" s="41" t="s">
        <v>19</v>
      </c>
      <c r="M52" s="41" t="s">
        <v>20</v>
      </c>
      <c r="N52" s="41" t="s">
        <v>21</v>
      </c>
      <c r="O52"/>
      <c r="P52" s="41" t="s">
        <v>19</v>
      </c>
      <c r="Q52" s="42" t="s">
        <v>22</v>
      </c>
      <c r="R52" s="43" t="s">
        <v>23</v>
      </c>
    </row>
    <row r="53" spans="11:18" x14ac:dyDescent="0.25">
      <c r="K53" s="44">
        <f>K47</f>
        <v>40518</v>
      </c>
      <c r="L53" s="45">
        <f>L47</f>
        <v>2010.4495433789955</v>
      </c>
      <c r="M53" s="46">
        <f>C16</f>
        <v>96711.221490238546</v>
      </c>
      <c r="N53" s="108">
        <f>LN(M54/M53)/L55</f>
        <v>2.6734612530852447E-2</v>
      </c>
      <c r="O53"/>
      <c r="P53" s="110">
        <f>P47</f>
        <v>2010.5</v>
      </c>
      <c r="Q53" s="110">
        <f>P53-L53</f>
        <v>5.0456621004514091E-2</v>
      </c>
      <c r="R53" s="112">
        <f>M53*EXP($N$53*Q53)</f>
        <v>96841.766981557957</v>
      </c>
    </row>
    <row r="54" spans="11:18" ht="15.75" thickBot="1" x14ac:dyDescent="0.3">
      <c r="K54" s="47" t="str">
        <f>K48</f>
        <v>15/03/2020</v>
      </c>
      <c r="L54" s="48">
        <f>L48</f>
        <v>2020.2077625570778</v>
      </c>
      <c r="M54" s="49">
        <f>H16</f>
        <v>125538.3950969658</v>
      </c>
      <c r="N54" s="109"/>
      <c r="O54"/>
      <c r="P54" s="111"/>
      <c r="Q54" s="111"/>
      <c r="R54" s="113"/>
    </row>
    <row r="55" spans="11:18" ht="15.75" thickBot="1" x14ac:dyDescent="0.3">
      <c r="K55" s="50" t="s">
        <v>22</v>
      </c>
      <c r="L55" s="51">
        <f>L54-L53</f>
        <v>9.7582191780822995</v>
      </c>
      <c r="O55"/>
    </row>
  </sheetData>
  <mergeCells count="42">
    <mergeCell ref="A1:D1"/>
    <mergeCell ref="F1:I1"/>
    <mergeCell ref="L1:O1"/>
    <mergeCell ref="P3:R3"/>
    <mergeCell ref="A5:A6"/>
    <mergeCell ref="B5:D5"/>
    <mergeCell ref="F5:F6"/>
    <mergeCell ref="G5:I5"/>
    <mergeCell ref="D32:D33"/>
    <mergeCell ref="F32:F33"/>
    <mergeCell ref="G32:G33"/>
    <mergeCell ref="H32:H33"/>
    <mergeCell ref="K14:R14"/>
    <mergeCell ref="N17:N18"/>
    <mergeCell ref="P17:P18"/>
    <mergeCell ref="Q17:Q18"/>
    <mergeCell ref="R17:R18"/>
    <mergeCell ref="N23:N24"/>
    <mergeCell ref="P23:P24"/>
    <mergeCell ref="Q23:Q24"/>
    <mergeCell ref="R23:R24"/>
    <mergeCell ref="A29:H29"/>
    <mergeCell ref="N29:N30"/>
    <mergeCell ref="P29:P30"/>
    <mergeCell ref="Q29:Q30"/>
    <mergeCell ref="R29:R30"/>
    <mergeCell ref="N35:N36"/>
    <mergeCell ref="P35:P36"/>
    <mergeCell ref="Q35:Q36"/>
    <mergeCell ref="R35:R36"/>
    <mergeCell ref="N41:N42"/>
    <mergeCell ref="P41:P42"/>
    <mergeCell ref="Q41:Q42"/>
    <mergeCell ref="R41:R42"/>
    <mergeCell ref="N47:N48"/>
    <mergeCell ref="P47:P48"/>
    <mergeCell ref="Q47:Q48"/>
    <mergeCell ref="R47:R48"/>
    <mergeCell ref="N53:N54"/>
    <mergeCell ref="P53:P54"/>
    <mergeCell ref="Q53:Q54"/>
    <mergeCell ref="R53:R5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opLeftCell="A10" zoomScaleNormal="100" workbookViewId="0">
      <selection activeCell="R12" sqref="R12"/>
    </sheetView>
  </sheetViews>
  <sheetFormatPr baseColWidth="10" defaultColWidth="11.42578125" defaultRowHeight="15" x14ac:dyDescent="0.25"/>
  <cols>
    <col min="1" max="4" width="10.42578125" style="4" customWidth="1"/>
    <col min="5" max="5" width="2.85546875" style="4" customWidth="1"/>
    <col min="6" max="9" width="10.42578125" style="4" customWidth="1"/>
    <col min="10" max="10" width="4" style="4" customWidth="1"/>
    <col min="11" max="11" width="10.140625" style="4" bestFit="1" customWidth="1"/>
    <col min="12" max="12" width="10.42578125" style="4" customWidth="1"/>
    <col min="13" max="13" width="16.85546875" style="4" customWidth="1"/>
    <col min="14" max="15" width="10.42578125" style="4" customWidth="1"/>
    <col min="16" max="16" width="15.28515625" bestFit="1" customWidth="1"/>
    <col min="22" max="22" width="14.140625" bestFit="1" customWidth="1"/>
  </cols>
  <sheetData>
    <row r="1" spans="1:18" s="3" customFormat="1" ht="28.5" customHeight="1" x14ac:dyDescent="0.25">
      <c r="A1" s="117" t="s">
        <v>37</v>
      </c>
      <c r="B1" s="117"/>
      <c r="C1" s="117"/>
      <c r="D1" s="117"/>
      <c r="E1" s="1"/>
      <c r="F1" s="117" t="s">
        <v>78</v>
      </c>
      <c r="G1" s="117"/>
      <c r="H1" s="117"/>
      <c r="I1" s="117"/>
      <c r="J1" s="2"/>
      <c r="L1" s="117" t="s">
        <v>36</v>
      </c>
      <c r="M1" s="117"/>
      <c r="N1" s="117"/>
      <c r="O1" s="117"/>
    </row>
    <row r="2" spans="1:18" x14ac:dyDescent="0.25">
      <c r="E2" s="5"/>
      <c r="L2" s="2"/>
      <c r="M2" s="2"/>
      <c r="N2" s="6"/>
      <c r="O2" s="6"/>
    </row>
    <row r="3" spans="1:18" ht="33" customHeight="1" x14ac:dyDescent="0.25">
      <c r="A3" s="7" t="s">
        <v>40</v>
      </c>
      <c r="E3" s="5"/>
      <c r="F3" s="8" t="s">
        <v>41</v>
      </c>
      <c r="L3" s="9" t="s">
        <v>0</v>
      </c>
      <c r="M3" s="10" t="s">
        <v>35</v>
      </c>
      <c r="N3" s="11" t="s">
        <v>1</v>
      </c>
      <c r="P3" s="118" t="s">
        <v>42</v>
      </c>
      <c r="Q3" s="118"/>
      <c r="R3" s="118"/>
    </row>
    <row r="4" spans="1:18" x14ac:dyDescent="0.25">
      <c r="L4" s="12" t="s">
        <v>2</v>
      </c>
      <c r="M4" s="13">
        <v>13227</v>
      </c>
      <c r="N4" s="14">
        <f>R17</f>
        <v>160989.2190935612</v>
      </c>
      <c r="P4" s="4"/>
      <c r="Q4" s="4"/>
      <c r="R4" s="4"/>
    </row>
    <row r="5" spans="1:18" ht="15" customHeight="1" x14ac:dyDescent="0.25">
      <c r="A5" s="119" t="s">
        <v>0</v>
      </c>
      <c r="B5" s="120" t="s">
        <v>35</v>
      </c>
      <c r="C5" s="120"/>
      <c r="D5" s="120"/>
      <c r="E5" s="5"/>
      <c r="F5" s="119" t="s">
        <v>0</v>
      </c>
      <c r="G5" s="120" t="s">
        <v>34</v>
      </c>
      <c r="H5" s="120"/>
      <c r="I5" s="120"/>
      <c r="J5" s="16"/>
      <c r="L5" s="12" t="s">
        <v>3</v>
      </c>
      <c r="M5" s="13">
        <v>20308</v>
      </c>
      <c r="N5" s="17">
        <f>R23</f>
        <v>156377.22814420963</v>
      </c>
      <c r="P5" s="18" t="s">
        <v>4</v>
      </c>
      <c r="Q5" s="18" t="s">
        <v>5</v>
      </c>
      <c r="R5" s="18" t="s">
        <v>6</v>
      </c>
    </row>
    <row r="6" spans="1:18" x14ac:dyDescent="0.25">
      <c r="A6" s="119"/>
      <c r="B6" s="10" t="s">
        <v>4</v>
      </c>
      <c r="C6" s="10" t="s">
        <v>5</v>
      </c>
      <c r="D6" s="10" t="s">
        <v>6</v>
      </c>
      <c r="E6" s="5"/>
      <c r="F6" s="119"/>
      <c r="G6" s="10" t="s">
        <v>4</v>
      </c>
      <c r="H6" s="10" t="s">
        <v>5</v>
      </c>
      <c r="I6" s="10" t="s">
        <v>6</v>
      </c>
      <c r="J6" s="16"/>
      <c r="L6" s="12" t="s">
        <v>7</v>
      </c>
      <c r="M6" s="13">
        <v>18618</v>
      </c>
      <c r="N6" s="17">
        <f>R29</f>
        <v>149368.23685762196</v>
      </c>
      <c r="P6" s="19">
        <v>34058</v>
      </c>
      <c r="Q6" s="19">
        <v>32841</v>
      </c>
      <c r="R6" s="19">
        <v>66899</v>
      </c>
    </row>
    <row r="7" spans="1:18" x14ac:dyDescent="0.25">
      <c r="A7" s="20" t="s">
        <v>8</v>
      </c>
      <c r="B7" s="21">
        <v>168769</v>
      </c>
      <c r="C7" s="21">
        <v>164023</v>
      </c>
      <c r="D7" s="21">
        <f>SUM(B7:C7)</f>
        <v>332792</v>
      </c>
      <c r="E7" s="5"/>
      <c r="F7" s="20" t="s">
        <v>8</v>
      </c>
      <c r="G7" s="22">
        <v>147914</v>
      </c>
      <c r="H7" s="22">
        <v>143968</v>
      </c>
      <c r="I7" s="22">
        <f>SUM(G7:H7)</f>
        <v>291882</v>
      </c>
      <c r="J7" s="23"/>
      <c r="L7" s="12" t="s">
        <v>9</v>
      </c>
      <c r="M7" s="13">
        <v>10132</v>
      </c>
      <c r="N7" s="17">
        <f>R35</f>
        <v>139594.54671109855</v>
      </c>
      <c r="P7" s="24"/>
      <c r="Q7" s="24"/>
      <c r="R7" s="24"/>
    </row>
    <row r="8" spans="1:18" x14ac:dyDescent="0.25">
      <c r="A8" s="25" t="s">
        <v>10</v>
      </c>
      <c r="B8" s="26">
        <v>175855.91806615776</v>
      </c>
      <c r="C8" s="26">
        <v>169713.29364979092</v>
      </c>
      <c r="D8" s="21">
        <f t="shared" ref="D8:D24" si="0">SUM(B8:C8)</f>
        <v>345569.21171594865</v>
      </c>
      <c r="E8" s="5"/>
      <c r="F8" s="25" t="s">
        <v>10</v>
      </c>
      <c r="G8" s="27">
        <v>161514.20755466595</v>
      </c>
      <c r="H8" s="27">
        <v>156457.04966667923</v>
      </c>
      <c r="I8" s="22">
        <f t="shared" ref="I8:I24" si="1">SUM(G8:H8)</f>
        <v>317971.25722134521</v>
      </c>
      <c r="J8" s="23"/>
      <c r="L8" s="12" t="s">
        <v>11</v>
      </c>
      <c r="M8" s="13">
        <v>4453</v>
      </c>
      <c r="N8" s="17">
        <f>R41</f>
        <v>133491.90613115014</v>
      </c>
      <c r="P8" s="28" t="s">
        <v>12</v>
      </c>
      <c r="Q8" s="29">
        <f>Q6/R6</f>
        <v>0.49090419886694869</v>
      </c>
      <c r="R8" s="4"/>
    </row>
    <row r="9" spans="1:18" x14ac:dyDescent="0.25">
      <c r="A9" s="25" t="s">
        <v>13</v>
      </c>
      <c r="B9" s="26">
        <v>169947.18727735369</v>
      </c>
      <c r="C9" s="26">
        <v>164892.68419817707</v>
      </c>
      <c r="D9" s="21">
        <f t="shared" si="0"/>
        <v>334839.87147553079</v>
      </c>
      <c r="E9" s="5"/>
      <c r="F9" s="25" t="s">
        <v>13</v>
      </c>
      <c r="G9" s="27">
        <v>169964.58856686644</v>
      </c>
      <c r="H9" s="27">
        <v>164433.21282376113</v>
      </c>
      <c r="I9" s="22">
        <f t="shared" si="1"/>
        <v>334397.80139062757</v>
      </c>
      <c r="J9" s="23"/>
      <c r="L9" s="12" t="s">
        <v>14</v>
      </c>
      <c r="M9" s="13">
        <v>918</v>
      </c>
      <c r="N9" s="17">
        <f>R47</f>
        <v>127012.18353781839</v>
      </c>
    </row>
    <row r="10" spans="1:18" x14ac:dyDescent="0.25">
      <c r="A10" s="30" t="s">
        <v>2</v>
      </c>
      <c r="B10" s="26">
        <v>167614.84783715013</v>
      </c>
      <c r="C10" s="31">
        <v>164515.28461330204</v>
      </c>
      <c r="D10" s="21">
        <f t="shared" si="0"/>
        <v>332130.13245045219</v>
      </c>
      <c r="E10" s="5"/>
      <c r="F10" s="30" t="s">
        <v>2</v>
      </c>
      <c r="G10" s="27">
        <v>166284.01825288418</v>
      </c>
      <c r="H10" s="32">
        <v>160716.68152355801</v>
      </c>
      <c r="I10" s="22">
        <f t="shared" si="1"/>
        <v>327000.6997764422</v>
      </c>
      <c r="J10" s="23"/>
      <c r="L10" s="33" t="s">
        <v>15</v>
      </c>
      <c r="M10" s="13">
        <v>124</v>
      </c>
      <c r="N10" s="34">
        <f>R53</f>
        <v>123185.32036060077</v>
      </c>
    </row>
    <row r="11" spans="1:18" x14ac:dyDescent="0.25">
      <c r="A11" s="30" t="s">
        <v>3</v>
      </c>
      <c r="B11" s="26">
        <v>147463.47633587787</v>
      </c>
      <c r="C11" s="31">
        <v>147370.41330806486</v>
      </c>
      <c r="D11" s="21">
        <f t="shared" si="0"/>
        <v>294833.8896439427</v>
      </c>
      <c r="E11" s="5"/>
      <c r="F11" s="30" t="s">
        <v>3</v>
      </c>
      <c r="G11" s="27">
        <v>157605.16731648333</v>
      </c>
      <c r="H11" s="32">
        <v>157104.3614002816</v>
      </c>
      <c r="I11" s="22">
        <f t="shared" si="1"/>
        <v>314709.52871676494</v>
      </c>
      <c r="J11" s="23"/>
      <c r="L11" s="35" t="s">
        <v>6</v>
      </c>
      <c r="M11" s="36">
        <f>SUM(M4:M10)</f>
        <v>67780</v>
      </c>
      <c r="N11" s="37">
        <f>SUM(N4:N10)</f>
        <v>990018.64083606075</v>
      </c>
    </row>
    <row r="12" spans="1:18" x14ac:dyDescent="0.25">
      <c r="A12" s="30" t="s">
        <v>7</v>
      </c>
      <c r="B12" s="26">
        <v>130372.72010178117</v>
      </c>
      <c r="C12" s="31">
        <v>132658.01637637999</v>
      </c>
      <c r="D12" s="21">
        <f t="shared" si="0"/>
        <v>263030.73647816118</v>
      </c>
      <c r="E12" s="5"/>
      <c r="F12" s="30" t="s">
        <v>7</v>
      </c>
      <c r="G12" s="27">
        <v>148148.71698894439</v>
      </c>
      <c r="H12" s="32">
        <v>150760.50600486886</v>
      </c>
      <c r="I12" s="22">
        <f t="shared" si="1"/>
        <v>298909.22299381322</v>
      </c>
      <c r="J12" s="23"/>
      <c r="L12" s="24" t="s">
        <v>16</v>
      </c>
    </row>
    <row r="13" spans="1:18" x14ac:dyDescent="0.25">
      <c r="A13" s="30" t="s">
        <v>9</v>
      </c>
      <c r="B13" s="26">
        <v>128053.79083969466</v>
      </c>
      <c r="C13" s="31">
        <v>131127.7951087447</v>
      </c>
      <c r="D13" s="21">
        <f t="shared" si="0"/>
        <v>259181.58594843937</v>
      </c>
      <c r="E13" s="5"/>
      <c r="F13" s="30" t="s">
        <v>9</v>
      </c>
      <c r="G13" s="27">
        <v>135928.58222743782</v>
      </c>
      <c r="H13" s="32">
        <v>140279.26647935671</v>
      </c>
      <c r="I13" s="22">
        <f t="shared" si="1"/>
        <v>276207.84870679455</v>
      </c>
      <c r="J13" s="23"/>
      <c r="M13" s="38"/>
    </row>
    <row r="14" spans="1:18" x14ac:dyDescent="0.25">
      <c r="A14" s="30" t="s">
        <v>11</v>
      </c>
      <c r="B14" s="26">
        <v>132500.81221374046</v>
      </c>
      <c r="C14" s="31">
        <v>135616.37541738112</v>
      </c>
      <c r="D14" s="21">
        <f t="shared" si="0"/>
        <v>268117.1876311216</v>
      </c>
      <c r="E14" s="5"/>
      <c r="F14" s="30" t="s">
        <v>11</v>
      </c>
      <c r="G14" s="27">
        <v>130881.20061253756</v>
      </c>
      <c r="H14" s="32">
        <v>133327.17854168912</v>
      </c>
      <c r="I14" s="22">
        <f t="shared" si="1"/>
        <v>264208.37915422668</v>
      </c>
      <c r="J14" s="23"/>
      <c r="K14" s="114" t="s">
        <v>17</v>
      </c>
      <c r="L14" s="114"/>
      <c r="M14" s="114"/>
      <c r="N14" s="114"/>
      <c r="O14" s="114"/>
      <c r="P14" s="114"/>
      <c r="Q14" s="114"/>
      <c r="R14" s="114"/>
    </row>
    <row r="15" spans="1:18" ht="15.75" thickBot="1" x14ac:dyDescent="0.3">
      <c r="A15" s="30" t="s">
        <v>14</v>
      </c>
      <c r="B15" s="26">
        <v>113412.9709923664</v>
      </c>
      <c r="C15" s="31">
        <v>116325.6884396715</v>
      </c>
      <c r="D15" s="21">
        <f t="shared" si="0"/>
        <v>229738.65943203791</v>
      </c>
      <c r="E15" s="5"/>
      <c r="F15" s="30" t="s">
        <v>14</v>
      </c>
      <c r="G15" s="27">
        <v>124610.30242988007</v>
      </c>
      <c r="H15" s="32">
        <v>127888.15673055337</v>
      </c>
      <c r="I15" s="22">
        <f t="shared" si="1"/>
        <v>252498.45916043344</v>
      </c>
      <c r="J15" s="23"/>
      <c r="K15" s="39" t="s">
        <v>2</v>
      </c>
      <c r="L15" s="40"/>
      <c r="M15" s="40"/>
      <c r="N15" s="40"/>
      <c r="O15"/>
      <c r="P15" s="40"/>
      <c r="Q15" s="40"/>
      <c r="R15" s="40"/>
    </row>
    <row r="16" spans="1:18" ht="18" thickBot="1" x14ac:dyDescent="0.3">
      <c r="A16" s="30" t="s">
        <v>15</v>
      </c>
      <c r="B16" s="26">
        <v>92182.595928753188</v>
      </c>
      <c r="C16" s="31">
        <v>96711.221490238546</v>
      </c>
      <c r="D16" s="21">
        <f t="shared" si="0"/>
        <v>188893.81741899173</v>
      </c>
      <c r="E16" s="5"/>
      <c r="F16" s="30" t="s">
        <v>15</v>
      </c>
      <c r="G16" s="27">
        <v>123492.00227458353</v>
      </c>
      <c r="H16" s="32">
        <v>125538.3950969658</v>
      </c>
      <c r="I16" s="22">
        <f t="shared" si="1"/>
        <v>249030.39737154933</v>
      </c>
      <c r="J16" s="23"/>
      <c r="K16" s="41" t="s">
        <v>18</v>
      </c>
      <c r="L16" s="41" t="s">
        <v>19</v>
      </c>
      <c r="M16" s="41" t="s">
        <v>20</v>
      </c>
      <c r="N16" s="41" t="s">
        <v>21</v>
      </c>
      <c r="O16"/>
      <c r="P16" s="41" t="s">
        <v>19</v>
      </c>
      <c r="Q16" s="42" t="s">
        <v>22</v>
      </c>
      <c r="R16" s="43" t="s">
        <v>23</v>
      </c>
    </row>
    <row r="17" spans="1:18" x14ac:dyDescent="0.25">
      <c r="A17" s="30" t="s">
        <v>24</v>
      </c>
      <c r="B17" s="26">
        <v>74259.377099236648</v>
      </c>
      <c r="C17" s="26">
        <v>79481.796179646844</v>
      </c>
      <c r="D17" s="21">
        <f t="shared" si="0"/>
        <v>153741.17327888351</v>
      </c>
      <c r="E17" s="5"/>
      <c r="F17" s="30" t="s">
        <v>24</v>
      </c>
      <c r="G17" s="27">
        <v>107825.7794897214</v>
      </c>
      <c r="H17" s="27">
        <v>112554.08326411816</v>
      </c>
      <c r="I17" s="22">
        <f t="shared" si="1"/>
        <v>220379.86275383958</v>
      </c>
      <c r="J17" s="23"/>
      <c r="K17" s="44">
        <v>40518</v>
      </c>
      <c r="L17" s="45">
        <v>2010.4495433789955</v>
      </c>
      <c r="M17" s="46">
        <f>C10</f>
        <v>164515.28461330204</v>
      </c>
      <c r="N17" s="108">
        <f>LN(M18/M17)/L19</f>
        <v>-2.3939213001183865E-3</v>
      </c>
      <c r="O17"/>
      <c r="P17" s="110">
        <f>2019+6/12+0/365</f>
        <v>2019.5</v>
      </c>
      <c r="Q17" s="110">
        <f>P17-L17</f>
        <v>9.0504566210045141</v>
      </c>
      <c r="R17" s="112">
        <f>M17*EXP($N$17*Q17)</f>
        <v>160989.2190935612</v>
      </c>
    </row>
    <row r="18" spans="1:18" ht="15.75" thickBot="1" x14ac:dyDescent="0.3">
      <c r="A18" s="30" t="s">
        <v>25</v>
      </c>
      <c r="B18" s="26">
        <v>53961.525190839697</v>
      </c>
      <c r="C18" s="26">
        <v>58049.418115091896</v>
      </c>
      <c r="D18" s="21">
        <f t="shared" si="0"/>
        <v>112010.94330593159</v>
      </c>
      <c r="E18" s="5"/>
      <c r="F18" s="30" t="s">
        <v>25</v>
      </c>
      <c r="G18" s="27">
        <v>84201.187678546426</v>
      </c>
      <c r="H18" s="27">
        <v>89792.959380560991</v>
      </c>
      <c r="I18" s="22">
        <f t="shared" si="1"/>
        <v>173994.14705910743</v>
      </c>
      <c r="J18" s="23"/>
      <c r="K18" s="47" t="s">
        <v>39</v>
      </c>
      <c r="L18" s="48">
        <v>2020.2077625570778</v>
      </c>
      <c r="M18" s="49">
        <f>H10</f>
        <v>160716.68152355801</v>
      </c>
      <c r="N18" s="109"/>
      <c r="O18"/>
      <c r="P18" s="111"/>
      <c r="Q18" s="111"/>
      <c r="R18" s="113"/>
    </row>
    <row r="19" spans="1:18" ht="15.75" thickBot="1" x14ac:dyDescent="0.3">
      <c r="A19" s="30" t="s">
        <v>26</v>
      </c>
      <c r="B19" s="26">
        <v>43876.039694656487</v>
      </c>
      <c r="C19" s="26">
        <v>48472.130289083419</v>
      </c>
      <c r="D19" s="21">
        <f t="shared" si="0"/>
        <v>92348.169983739906</v>
      </c>
      <c r="E19" s="5"/>
      <c r="F19" s="30" t="s">
        <v>26</v>
      </c>
      <c r="G19" s="27">
        <v>66667.12305723918</v>
      </c>
      <c r="H19" s="27">
        <v>74481.932616715349</v>
      </c>
      <c r="I19" s="22">
        <f t="shared" si="1"/>
        <v>141149.05567395454</v>
      </c>
      <c r="J19" s="23"/>
      <c r="K19" s="50" t="s">
        <v>22</v>
      </c>
      <c r="L19" s="51">
        <f>L18-L17</f>
        <v>9.7582191780822995</v>
      </c>
      <c r="O19"/>
    </row>
    <row r="20" spans="1:18" x14ac:dyDescent="0.25">
      <c r="A20" s="30" t="s">
        <v>27</v>
      </c>
      <c r="B20" s="17">
        <v>33846.258015267173</v>
      </c>
      <c r="C20" s="26">
        <v>37119.208350630208</v>
      </c>
      <c r="D20" s="21">
        <f t="shared" si="0"/>
        <v>70965.466365897388</v>
      </c>
      <c r="E20" s="5"/>
      <c r="F20" s="30" t="s">
        <v>27</v>
      </c>
      <c r="G20" s="27">
        <v>47350.391790526424</v>
      </c>
      <c r="H20" s="27">
        <v>53800.022118955261</v>
      </c>
      <c r="I20" s="22">
        <f t="shared" si="1"/>
        <v>101150.41390948169</v>
      </c>
      <c r="J20" s="23"/>
      <c r="N20"/>
      <c r="O20"/>
    </row>
    <row r="21" spans="1:18" ht="15.75" thickBot="1" x14ac:dyDescent="0.3">
      <c r="A21" s="30" t="s">
        <v>28</v>
      </c>
      <c r="B21" s="26">
        <v>27101.969974554708</v>
      </c>
      <c r="C21" s="26">
        <v>29022.646764732424</v>
      </c>
      <c r="D21" s="21">
        <f t="shared" si="0"/>
        <v>56124.616739287128</v>
      </c>
      <c r="E21" s="5"/>
      <c r="F21" s="30" t="s">
        <v>28</v>
      </c>
      <c r="G21" s="27">
        <v>34257.46183613161</v>
      </c>
      <c r="H21" s="27">
        <v>39911.878732377998</v>
      </c>
      <c r="I21" s="22">
        <f t="shared" si="1"/>
        <v>74169.340568509608</v>
      </c>
      <c r="J21" s="23"/>
      <c r="K21" s="39" t="s">
        <v>3</v>
      </c>
      <c r="L21" s="40"/>
      <c r="M21" s="40"/>
      <c r="N21" s="40"/>
      <c r="O21"/>
      <c r="P21" s="40"/>
      <c r="Q21" s="40"/>
      <c r="R21" s="40"/>
    </row>
    <row r="22" spans="1:18" ht="14.45" customHeight="1" thickBot="1" x14ac:dyDescent="0.3">
      <c r="A22" s="30" t="s">
        <v>29</v>
      </c>
      <c r="B22" s="26">
        <v>17065.998982188295</v>
      </c>
      <c r="C22" s="26">
        <v>18397.714189453418</v>
      </c>
      <c r="D22" s="21">
        <f t="shared" si="0"/>
        <v>35463.713171641713</v>
      </c>
      <c r="F22" s="30" t="s">
        <v>29</v>
      </c>
      <c r="G22" s="27">
        <v>23521.379520856386</v>
      </c>
      <c r="H22" s="27">
        <v>26846.402425193224</v>
      </c>
      <c r="I22" s="22">
        <f t="shared" si="1"/>
        <v>50367.78194604961</v>
      </c>
      <c r="J22" s="23"/>
      <c r="K22" s="41" t="s">
        <v>18</v>
      </c>
      <c r="L22" s="41" t="s">
        <v>19</v>
      </c>
      <c r="M22" s="41" t="s">
        <v>20</v>
      </c>
      <c r="N22" s="41" t="s">
        <v>21</v>
      </c>
      <c r="O22"/>
      <c r="P22" s="41" t="s">
        <v>19</v>
      </c>
      <c r="Q22" s="42" t="s">
        <v>22</v>
      </c>
      <c r="R22" s="43" t="s">
        <v>23</v>
      </c>
    </row>
    <row r="23" spans="1:18" x14ac:dyDescent="0.25">
      <c r="A23" s="30" t="s">
        <v>30</v>
      </c>
      <c r="B23" s="26">
        <v>9732.6946564885493</v>
      </c>
      <c r="C23" s="26">
        <v>11619.98885780465</v>
      </c>
      <c r="D23" s="21">
        <f t="shared" si="0"/>
        <v>21352.6835142932</v>
      </c>
      <c r="F23" s="30" t="s">
        <v>30</v>
      </c>
      <c r="G23" s="27">
        <v>14302.417667157295</v>
      </c>
      <c r="H23" s="27">
        <v>17148.750787726069</v>
      </c>
      <c r="I23" s="22">
        <f t="shared" si="1"/>
        <v>31451.168454883365</v>
      </c>
      <c r="J23" s="23"/>
      <c r="K23" s="44">
        <f>K17</f>
        <v>40518</v>
      </c>
      <c r="L23" s="45">
        <f>L17</f>
        <v>2010.4495433789955</v>
      </c>
      <c r="M23" s="46">
        <f>C11</f>
        <v>147370.41330806486</v>
      </c>
      <c r="N23" s="108">
        <f>LN(M24/M23)/L25</f>
        <v>6.5545843830928704E-3</v>
      </c>
      <c r="O23"/>
      <c r="P23" s="110">
        <f>P17</f>
        <v>2019.5</v>
      </c>
      <c r="Q23" s="110">
        <f>P23-L23</f>
        <v>9.0504566210045141</v>
      </c>
      <c r="R23" s="112">
        <f>M23*EXP($N$23*Q23)</f>
        <v>156377.22814420963</v>
      </c>
    </row>
    <row r="24" spans="1:18" ht="15.75" thickBot="1" x14ac:dyDescent="0.3">
      <c r="A24" s="30" t="s">
        <v>31</v>
      </c>
      <c r="B24" s="26">
        <v>6527.6620865139948</v>
      </c>
      <c r="C24" s="26">
        <v>8802.8968745299753</v>
      </c>
      <c r="D24" s="21">
        <f t="shared" si="0"/>
        <v>15330.558961043971</v>
      </c>
      <c r="F24" s="30" t="s">
        <v>31</v>
      </c>
      <c r="G24" s="27">
        <v>9353.2380372203588</v>
      </c>
      <c r="H24" s="27">
        <v>13038.421482405727</v>
      </c>
      <c r="I24" s="22">
        <f t="shared" si="1"/>
        <v>22391.659519626086</v>
      </c>
      <c r="J24" s="23"/>
      <c r="K24" s="47" t="str">
        <f>K18</f>
        <v>15/03/2020</v>
      </c>
      <c r="L24" s="48">
        <f>L18</f>
        <v>2020.2077625570778</v>
      </c>
      <c r="M24" s="49">
        <f>H11</f>
        <v>157104.3614002816</v>
      </c>
      <c r="N24" s="109"/>
      <c r="O24"/>
      <c r="P24" s="111"/>
      <c r="Q24" s="111"/>
      <c r="R24" s="113"/>
    </row>
    <row r="25" spans="1:18" ht="15.75" thickBot="1" x14ac:dyDescent="0.3">
      <c r="A25" s="52" t="s">
        <v>32</v>
      </c>
      <c r="B25" s="53">
        <f>SUM(B7:B24)</f>
        <v>1692544.8452926208</v>
      </c>
      <c r="C25" s="53">
        <f>SUM(C7:C24)</f>
        <v>1713919.5722227236</v>
      </c>
      <c r="D25" s="54">
        <f>SUM(B25:C25)</f>
        <v>3406464.4175153445</v>
      </c>
      <c r="F25" s="52" t="s">
        <v>32</v>
      </c>
      <c r="G25" s="55">
        <f>SUM(G7:G24)</f>
        <v>1853821.7653016823</v>
      </c>
      <c r="H25" s="55">
        <f>SUM(H7:H24)</f>
        <v>1888047.2590757664</v>
      </c>
      <c r="I25" s="56">
        <f>SUM(G25:H25)</f>
        <v>3741869.0243774485</v>
      </c>
      <c r="J25" s="23"/>
      <c r="K25" s="50" t="s">
        <v>22</v>
      </c>
      <c r="L25" s="51">
        <f>L24-L23</f>
        <v>9.7582191780822995</v>
      </c>
      <c r="O25"/>
    </row>
    <row r="26" spans="1:18" x14ac:dyDescent="0.25">
      <c r="J26" s="57"/>
      <c r="N26"/>
      <c r="O26"/>
    </row>
    <row r="27" spans="1:18" ht="15.75" thickBot="1" x14ac:dyDescent="0.3">
      <c r="A27" s="58"/>
      <c r="B27" s="58"/>
      <c r="C27" s="58"/>
      <c r="K27" s="39" t="s">
        <v>7</v>
      </c>
      <c r="L27" s="40"/>
      <c r="M27" s="40"/>
      <c r="N27" s="40"/>
      <c r="O27"/>
      <c r="P27" s="40"/>
      <c r="Q27" s="40"/>
      <c r="R27" s="40"/>
    </row>
    <row r="28" spans="1:18" ht="18" thickBot="1" x14ac:dyDescent="0.3">
      <c r="K28" s="41" t="s">
        <v>18</v>
      </c>
      <c r="L28" s="41" t="s">
        <v>19</v>
      </c>
      <c r="M28" s="41" t="s">
        <v>20</v>
      </c>
      <c r="N28" s="41" t="s">
        <v>21</v>
      </c>
      <c r="O28"/>
      <c r="P28" s="41" t="s">
        <v>19</v>
      </c>
      <c r="Q28" s="42" t="s">
        <v>22</v>
      </c>
      <c r="R28" s="43" t="s">
        <v>23</v>
      </c>
    </row>
    <row r="29" spans="1:18" x14ac:dyDescent="0.25">
      <c r="A29" s="114" t="s">
        <v>33</v>
      </c>
      <c r="B29" s="114"/>
      <c r="C29" s="114"/>
      <c r="D29" s="114"/>
      <c r="E29" s="114"/>
      <c r="F29" s="114"/>
      <c r="G29" s="114"/>
      <c r="H29" s="114"/>
      <c r="K29" s="44">
        <f>K23</f>
        <v>40518</v>
      </c>
      <c r="L29" s="45">
        <f>L23</f>
        <v>2010.4495433789955</v>
      </c>
      <c r="M29" s="46">
        <f>C12</f>
        <v>132658.01637637999</v>
      </c>
      <c r="N29" s="108">
        <f>LN(M30/M29)/L31</f>
        <v>1.3108745675999747E-2</v>
      </c>
      <c r="O29"/>
      <c r="P29" s="110">
        <f>P23</f>
        <v>2019.5</v>
      </c>
      <c r="Q29" s="110">
        <f>P29-L29</f>
        <v>9.0504566210045141</v>
      </c>
      <c r="R29" s="112">
        <f>M29*EXP($N$29*Q29)</f>
        <v>149368.23685762196</v>
      </c>
    </row>
    <row r="30" spans="1:18" ht="15.75" thickBot="1" x14ac:dyDescent="0.3">
      <c r="A30" s="39"/>
      <c r="B30" s="40"/>
      <c r="C30" s="40"/>
      <c r="D30" s="40"/>
      <c r="E30"/>
      <c r="F30" s="40"/>
      <c r="G30" s="40"/>
      <c r="H30" s="40"/>
      <c r="K30" s="47" t="str">
        <f>K24</f>
        <v>15/03/2020</v>
      </c>
      <c r="L30" s="48">
        <f>L24</f>
        <v>2020.2077625570778</v>
      </c>
      <c r="M30" s="49">
        <f>H12</f>
        <v>150760.50600486886</v>
      </c>
      <c r="N30" s="109"/>
      <c r="O30"/>
      <c r="P30" s="111"/>
      <c r="Q30" s="111"/>
      <c r="R30" s="113"/>
    </row>
    <row r="31" spans="1:18" ht="18" thickBot="1" x14ac:dyDescent="0.3">
      <c r="A31" s="41" t="s">
        <v>18</v>
      </c>
      <c r="B31" s="41" t="s">
        <v>19</v>
      </c>
      <c r="C31" s="41" t="s">
        <v>20</v>
      </c>
      <c r="D31" s="41" t="s">
        <v>21</v>
      </c>
      <c r="E31"/>
      <c r="F31" s="41" t="s">
        <v>19</v>
      </c>
      <c r="G31" s="42" t="s">
        <v>22</v>
      </c>
      <c r="H31" s="43" t="s">
        <v>23</v>
      </c>
      <c r="K31" s="50" t="s">
        <v>22</v>
      </c>
      <c r="L31" s="51">
        <f>L30-L29</f>
        <v>9.7582191780822995</v>
      </c>
      <c r="O31"/>
    </row>
    <row r="32" spans="1:18" x14ac:dyDescent="0.25">
      <c r="A32" s="44">
        <v>40518</v>
      </c>
      <c r="B32" s="45">
        <v>2010.4495433789955</v>
      </c>
      <c r="C32" s="46">
        <f>D25</f>
        <v>3406464.4175153445</v>
      </c>
      <c r="D32" s="108">
        <f>LN(C33/C32)/B34</f>
        <v>9.6237129247992333E-3</v>
      </c>
      <c r="E32"/>
      <c r="F32" s="110">
        <f>2019+6/12+0/365</f>
        <v>2019.5</v>
      </c>
      <c r="G32" s="110">
        <f>F32-B32</f>
        <v>9.0504566210045141</v>
      </c>
      <c r="H32" s="115">
        <f>C32*EXP($D$32*G32)</f>
        <v>3716468.6212967914</v>
      </c>
      <c r="N32"/>
      <c r="O32"/>
    </row>
    <row r="33" spans="1:18" ht="15.75" thickBot="1" x14ac:dyDescent="0.3">
      <c r="A33" s="47" t="s">
        <v>39</v>
      </c>
      <c r="B33" s="48">
        <v>2020.2077625570778</v>
      </c>
      <c r="C33" s="49">
        <f>I25</f>
        <v>3741869.0243774485</v>
      </c>
      <c r="D33" s="109"/>
      <c r="E33"/>
      <c r="F33" s="111"/>
      <c r="G33" s="111"/>
      <c r="H33" s="116"/>
      <c r="K33" s="39" t="s">
        <v>9</v>
      </c>
      <c r="L33" s="40"/>
      <c r="M33" s="40"/>
      <c r="N33" s="40"/>
      <c r="O33"/>
      <c r="P33" s="40"/>
      <c r="Q33" s="40"/>
      <c r="R33" s="40"/>
    </row>
    <row r="34" spans="1:18" ht="18" thickBot="1" x14ac:dyDescent="0.3">
      <c r="A34" s="50" t="s">
        <v>22</v>
      </c>
      <c r="B34" s="51">
        <f>B33-B32</f>
        <v>9.7582191780822995</v>
      </c>
      <c r="E34"/>
      <c r="F34"/>
      <c r="G34"/>
      <c r="H34"/>
      <c r="K34" s="41" t="s">
        <v>18</v>
      </c>
      <c r="L34" s="41" t="s">
        <v>19</v>
      </c>
      <c r="M34" s="41" t="s">
        <v>20</v>
      </c>
      <c r="N34" s="41" t="s">
        <v>21</v>
      </c>
      <c r="O34"/>
      <c r="P34" s="41" t="s">
        <v>19</v>
      </c>
      <c r="Q34" s="42" t="s">
        <v>22</v>
      </c>
      <c r="R34" s="43" t="s">
        <v>23</v>
      </c>
    </row>
    <row r="35" spans="1:18" x14ac:dyDescent="0.25">
      <c r="K35" s="44">
        <f>K29</f>
        <v>40518</v>
      </c>
      <c r="L35" s="45">
        <f>L29</f>
        <v>2010.4495433789955</v>
      </c>
      <c r="M35" s="46">
        <f>C13</f>
        <v>131127.7951087447</v>
      </c>
      <c r="N35" s="108">
        <f>LN(M36/M35)/L37</f>
        <v>6.91343494081555E-3</v>
      </c>
      <c r="O35"/>
      <c r="P35" s="110">
        <f>P29</f>
        <v>2019.5</v>
      </c>
      <c r="Q35" s="110">
        <f>P35-L35</f>
        <v>9.0504566210045141</v>
      </c>
      <c r="R35" s="112">
        <f>M35*EXP($N$35*Q35)</f>
        <v>139594.54671109855</v>
      </c>
    </row>
    <row r="36" spans="1:18" ht="15.75" thickBot="1" x14ac:dyDescent="0.3">
      <c r="K36" s="47" t="str">
        <f>K30</f>
        <v>15/03/2020</v>
      </c>
      <c r="L36" s="48">
        <f>L30</f>
        <v>2020.2077625570778</v>
      </c>
      <c r="M36" s="49">
        <f>H13</f>
        <v>140279.26647935671</v>
      </c>
      <c r="N36" s="109"/>
      <c r="O36"/>
      <c r="P36" s="111"/>
      <c r="Q36" s="111"/>
      <c r="R36" s="113"/>
    </row>
    <row r="37" spans="1:18" ht="15.75" thickBot="1" x14ac:dyDescent="0.3">
      <c r="K37" s="50" t="s">
        <v>22</v>
      </c>
      <c r="L37" s="51">
        <f>L36-L35</f>
        <v>9.7582191780822995</v>
      </c>
      <c r="O37"/>
    </row>
    <row r="38" spans="1:18" x14ac:dyDescent="0.25">
      <c r="N38"/>
      <c r="O38"/>
    </row>
    <row r="39" spans="1:18" ht="15.75" thickBot="1" x14ac:dyDescent="0.3">
      <c r="K39" s="39" t="s">
        <v>11</v>
      </c>
      <c r="L39" s="40"/>
      <c r="M39" s="40"/>
      <c r="N39" s="40"/>
      <c r="O39"/>
      <c r="P39" s="40"/>
      <c r="Q39" s="40"/>
      <c r="R39" s="40"/>
    </row>
    <row r="40" spans="1:18" ht="18" thickBot="1" x14ac:dyDescent="0.3">
      <c r="K40" s="41" t="s">
        <v>18</v>
      </c>
      <c r="L40" s="41" t="s">
        <v>19</v>
      </c>
      <c r="M40" s="41" t="s">
        <v>20</v>
      </c>
      <c r="N40" s="41" t="s">
        <v>21</v>
      </c>
      <c r="O40"/>
      <c r="P40" s="41" t="s">
        <v>19</v>
      </c>
      <c r="Q40" s="42" t="s">
        <v>22</v>
      </c>
      <c r="R40" s="43" t="s">
        <v>23</v>
      </c>
    </row>
    <row r="41" spans="1:18" x14ac:dyDescent="0.25">
      <c r="K41" s="44">
        <f>K35</f>
        <v>40518</v>
      </c>
      <c r="L41" s="45">
        <f>L35</f>
        <v>2010.4495433789955</v>
      </c>
      <c r="M41" s="46">
        <f>C14</f>
        <v>135616.37541738112</v>
      </c>
      <c r="N41" s="108">
        <f>LN(M42/M41)/L43</f>
        <v>-1.7445841431056868E-3</v>
      </c>
      <c r="O41"/>
      <c r="P41" s="110">
        <f>P35</f>
        <v>2019.5</v>
      </c>
      <c r="Q41" s="110">
        <f>P41-L41</f>
        <v>9.0504566210045141</v>
      </c>
      <c r="R41" s="112">
        <f>M41*EXP($N$41*Q41)</f>
        <v>133491.90613115014</v>
      </c>
    </row>
    <row r="42" spans="1:18" ht="15.75" thickBot="1" x14ac:dyDescent="0.3">
      <c r="K42" s="47" t="str">
        <f>K36</f>
        <v>15/03/2020</v>
      </c>
      <c r="L42" s="48">
        <f>L36</f>
        <v>2020.2077625570778</v>
      </c>
      <c r="M42" s="49">
        <f>H14</f>
        <v>133327.17854168912</v>
      </c>
      <c r="N42" s="109"/>
      <c r="O42"/>
      <c r="P42" s="111"/>
      <c r="Q42" s="111"/>
      <c r="R42" s="113"/>
    </row>
    <row r="43" spans="1:18" ht="15.75" thickBot="1" x14ac:dyDescent="0.3">
      <c r="K43" s="50" t="s">
        <v>22</v>
      </c>
      <c r="L43" s="51">
        <f>L42-L41</f>
        <v>9.7582191780822995</v>
      </c>
      <c r="O43"/>
    </row>
    <row r="44" spans="1:18" x14ac:dyDescent="0.25">
      <c r="N44"/>
      <c r="O44"/>
    </row>
    <row r="45" spans="1:18" ht="15.75" thickBot="1" x14ac:dyDescent="0.3">
      <c r="K45" s="39" t="s">
        <v>14</v>
      </c>
      <c r="L45" s="40"/>
      <c r="M45" s="40"/>
      <c r="N45" s="40"/>
      <c r="O45"/>
      <c r="P45" s="40"/>
      <c r="Q45" s="40"/>
      <c r="R45" s="40"/>
    </row>
    <row r="46" spans="1:18" ht="18" thickBot="1" x14ac:dyDescent="0.3">
      <c r="K46" s="41" t="s">
        <v>18</v>
      </c>
      <c r="L46" s="41" t="s">
        <v>19</v>
      </c>
      <c r="M46" s="41" t="s">
        <v>20</v>
      </c>
      <c r="N46" s="41" t="s">
        <v>21</v>
      </c>
      <c r="O46"/>
      <c r="P46" s="41" t="s">
        <v>19</v>
      </c>
      <c r="Q46" s="42" t="s">
        <v>22</v>
      </c>
      <c r="R46" s="43" t="s">
        <v>23</v>
      </c>
    </row>
    <row r="47" spans="1:18" x14ac:dyDescent="0.25">
      <c r="K47" s="44">
        <f>K41</f>
        <v>40518</v>
      </c>
      <c r="L47" s="45">
        <f>L41</f>
        <v>2010.4495433789955</v>
      </c>
      <c r="M47" s="46">
        <f>C15</f>
        <v>116325.6884396715</v>
      </c>
      <c r="N47" s="108">
        <f>LN(M48/M47)/L49</f>
        <v>9.7110127090477665E-3</v>
      </c>
      <c r="O47"/>
      <c r="P47" s="110">
        <f>P41</f>
        <v>2019.5</v>
      </c>
      <c r="Q47" s="110">
        <f>P47-L47</f>
        <v>9.0504566210045141</v>
      </c>
      <c r="R47" s="112">
        <f>M47*EXP($N$47*Q47)</f>
        <v>127012.18353781839</v>
      </c>
    </row>
    <row r="48" spans="1:18" ht="15.75" thickBot="1" x14ac:dyDescent="0.3">
      <c r="K48" s="47" t="str">
        <f>K42</f>
        <v>15/03/2020</v>
      </c>
      <c r="L48" s="48">
        <f>L42</f>
        <v>2020.2077625570778</v>
      </c>
      <c r="M48" s="49">
        <f>H15</f>
        <v>127888.15673055337</v>
      </c>
      <c r="N48" s="109"/>
      <c r="O48"/>
      <c r="P48" s="111"/>
      <c r="Q48" s="111"/>
      <c r="R48" s="113"/>
    </row>
    <row r="49" spans="11:18" ht="15.75" thickBot="1" x14ac:dyDescent="0.3">
      <c r="K49" s="50" t="s">
        <v>22</v>
      </c>
      <c r="L49" s="51">
        <f>L48-L47</f>
        <v>9.7582191780822995</v>
      </c>
      <c r="O49"/>
    </row>
    <row r="50" spans="11:18" x14ac:dyDescent="0.25">
      <c r="N50"/>
      <c r="O50"/>
    </row>
    <row r="51" spans="11:18" ht="15.75" thickBot="1" x14ac:dyDescent="0.3">
      <c r="K51" s="39" t="s">
        <v>15</v>
      </c>
      <c r="L51" s="40"/>
      <c r="M51" s="40"/>
      <c r="N51" s="40"/>
      <c r="O51"/>
      <c r="P51" s="40"/>
      <c r="Q51" s="40"/>
      <c r="R51" s="40"/>
    </row>
    <row r="52" spans="11:18" ht="18" thickBot="1" x14ac:dyDescent="0.3">
      <c r="K52" s="41" t="s">
        <v>18</v>
      </c>
      <c r="L52" s="41" t="s">
        <v>19</v>
      </c>
      <c r="M52" s="41" t="s">
        <v>20</v>
      </c>
      <c r="N52" s="41" t="s">
        <v>21</v>
      </c>
      <c r="O52"/>
      <c r="P52" s="41" t="s">
        <v>19</v>
      </c>
      <c r="Q52" s="42" t="s">
        <v>22</v>
      </c>
      <c r="R52" s="43" t="s">
        <v>23</v>
      </c>
    </row>
    <row r="53" spans="11:18" x14ac:dyDescent="0.25">
      <c r="K53" s="44">
        <f>K47</f>
        <v>40518</v>
      </c>
      <c r="L53" s="45">
        <f>L47</f>
        <v>2010.4495433789955</v>
      </c>
      <c r="M53" s="46">
        <f>C16</f>
        <v>96711.221490238546</v>
      </c>
      <c r="N53" s="108">
        <f>LN(M54/M53)/L55</f>
        <v>2.6734612530852447E-2</v>
      </c>
      <c r="O53"/>
      <c r="P53" s="110">
        <f>P47</f>
        <v>2019.5</v>
      </c>
      <c r="Q53" s="110">
        <f>P53-L53</f>
        <v>9.0504566210045141</v>
      </c>
      <c r="R53" s="112">
        <f>M53*EXP($N$53*Q53)</f>
        <v>123185.32036060077</v>
      </c>
    </row>
    <row r="54" spans="11:18" ht="15.75" thickBot="1" x14ac:dyDescent="0.3">
      <c r="K54" s="47" t="str">
        <f>K48</f>
        <v>15/03/2020</v>
      </c>
      <c r="L54" s="48">
        <f>L48</f>
        <v>2020.2077625570778</v>
      </c>
      <c r="M54" s="49">
        <f>H16</f>
        <v>125538.3950969658</v>
      </c>
      <c r="N54" s="109"/>
      <c r="O54"/>
      <c r="P54" s="111"/>
      <c r="Q54" s="111"/>
      <c r="R54" s="113"/>
    </row>
    <row r="55" spans="11:18" ht="15.75" thickBot="1" x14ac:dyDescent="0.3">
      <c r="K55" s="50" t="s">
        <v>22</v>
      </c>
      <c r="L55" s="51">
        <f>L54-L53</f>
        <v>9.7582191780822995</v>
      </c>
      <c r="O55"/>
    </row>
  </sheetData>
  <mergeCells count="42">
    <mergeCell ref="A1:D1"/>
    <mergeCell ref="F1:I1"/>
    <mergeCell ref="L1:O1"/>
    <mergeCell ref="P3:R3"/>
    <mergeCell ref="A5:A6"/>
    <mergeCell ref="B5:D5"/>
    <mergeCell ref="F5:F6"/>
    <mergeCell ref="G5:I5"/>
    <mergeCell ref="D32:D33"/>
    <mergeCell ref="F32:F33"/>
    <mergeCell ref="G32:G33"/>
    <mergeCell ref="H32:H33"/>
    <mergeCell ref="K14:R14"/>
    <mergeCell ref="N17:N18"/>
    <mergeCell ref="P17:P18"/>
    <mergeCell ref="Q17:Q18"/>
    <mergeCell ref="R17:R18"/>
    <mergeCell ref="N23:N24"/>
    <mergeCell ref="P23:P24"/>
    <mergeCell ref="Q23:Q24"/>
    <mergeCell ref="R23:R24"/>
    <mergeCell ref="A29:H29"/>
    <mergeCell ref="N29:N30"/>
    <mergeCell ref="P29:P30"/>
    <mergeCell ref="Q29:Q30"/>
    <mergeCell ref="R29:R30"/>
    <mergeCell ref="N35:N36"/>
    <mergeCell ref="P35:P36"/>
    <mergeCell ref="Q35:Q36"/>
    <mergeCell ref="R35:R36"/>
    <mergeCell ref="N41:N42"/>
    <mergeCell ref="P41:P42"/>
    <mergeCell ref="Q41:Q42"/>
    <mergeCell ref="R41:R42"/>
    <mergeCell ref="N47:N48"/>
    <mergeCell ref="P47:P48"/>
    <mergeCell ref="Q47:Q48"/>
    <mergeCell ref="R47:R48"/>
    <mergeCell ref="N53:N54"/>
    <mergeCell ref="P53:P54"/>
    <mergeCell ref="Q53:Q54"/>
    <mergeCell ref="R53:R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Normal="100" workbookViewId="0">
      <selection activeCell="C10" sqref="C10"/>
    </sheetView>
  </sheetViews>
  <sheetFormatPr baseColWidth="10" defaultColWidth="11.42578125" defaultRowHeight="15" x14ac:dyDescent="0.25"/>
  <cols>
    <col min="1" max="1" width="33.85546875" style="59" customWidth="1"/>
    <col min="2" max="2" width="12.28515625" style="59" bestFit="1" customWidth="1"/>
    <col min="3" max="4" width="11.42578125" style="59"/>
    <col min="5" max="5" width="12.140625" style="59" bestFit="1" customWidth="1"/>
    <col min="6" max="6" width="11.42578125" style="59"/>
  </cols>
  <sheetData>
    <row r="1" spans="1:8" x14ac:dyDescent="0.25">
      <c r="A1" s="121" t="s">
        <v>63</v>
      </c>
      <c r="B1" s="121"/>
      <c r="C1" s="121"/>
      <c r="E1" s="76"/>
    </row>
    <row r="2" spans="1:8" x14ac:dyDescent="0.25">
      <c r="A2" s="122" t="s">
        <v>62</v>
      </c>
      <c r="B2" s="123"/>
      <c r="C2" s="123"/>
      <c r="D2" s="124"/>
    </row>
    <row r="3" spans="1:8" x14ac:dyDescent="0.25">
      <c r="A3" s="10" t="s">
        <v>80</v>
      </c>
      <c r="B3" s="10" t="s">
        <v>54</v>
      </c>
      <c r="C3" s="10" t="s">
        <v>58</v>
      </c>
      <c r="D3" s="10" t="s">
        <v>47</v>
      </c>
      <c r="F3" s="71"/>
    </row>
    <row r="4" spans="1:8" x14ac:dyDescent="0.25">
      <c r="A4" s="63" t="s">
        <v>79</v>
      </c>
      <c r="B4" s="73">
        <f>'Chihuahua 2019'!M11</f>
        <v>67780</v>
      </c>
      <c r="C4" s="73">
        <f>'Chihuahua 2019'!H32</f>
        <v>3716468.6212967914</v>
      </c>
      <c r="D4" s="75">
        <f>(B4/C4)*1000</f>
        <v>18.237743112263775</v>
      </c>
    </row>
    <row r="5" spans="1:8" x14ac:dyDescent="0.25">
      <c r="A5" s="63" t="s">
        <v>35</v>
      </c>
      <c r="B5" s="73">
        <f>'Chihuahua 2010'!M11</f>
        <v>65003</v>
      </c>
      <c r="C5" s="73">
        <f>'Chihuahua 2010'!H32</f>
        <v>3408118.9302955</v>
      </c>
      <c r="D5" s="75">
        <f>(B5/C5)*1000</f>
        <v>19.072984637412265</v>
      </c>
      <c r="F5" s="129"/>
    </row>
    <row r="7" spans="1:8" x14ac:dyDescent="0.25">
      <c r="A7" s="65" t="s">
        <v>61</v>
      </c>
    </row>
    <row r="8" spans="1:8" x14ac:dyDescent="0.25">
      <c r="A8" s="125" t="s">
        <v>60</v>
      </c>
      <c r="B8" s="125"/>
      <c r="C8" s="125"/>
      <c r="D8" s="125"/>
    </row>
    <row r="9" spans="1:8" x14ac:dyDescent="0.25">
      <c r="A9" s="15" t="s">
        <v>80</v>
      </c>
      <c r="B9" s="64" t="s">
        <v>59</v>
      </c>
      <c r="C9" s="64" t="s">
        <v>58</v>
      </c>
      <c r="D9" s="64" t="s">
        <v>57</v>
      </c>
    </row>
    <row r="10" spans="1:8" x14ac:dyDescent="0.25">
      <c r="A10" s="74" t="s">
        <v>79</v>
      </c>
      <c r="B10" s="73">
        <f>'Chihuahua 2019'!N11</f>
        <v>990018.64083606075</v>
      </c>
      <c r="C10" s="73">
        <f>'Chihuahua 2019'!H32</f>
        <v>3716468.6212967914</v>
      </c>
      <c r="D10" s="130">
        <f>B10/C10</f>
        <v>0.26638692310298923</v>
      </c>
    </row>
    <row r="11" spans="1:8" x14ac:dyDescent="0.25">
      <c r="A11" s="74" t="s">
        <v>35</v>
      </c>
      <c r="B11" s="73">
        <f>'Chihuahua 2010'!N11</f>
        <v>924662.81227048684</v>
      </c>
      <c r="C11" s="73">
        <f>'Chihuahua 2010'!H32</f>
        <v>3408118.9302955</v>
      </c>
      <c r="D11" s="130">
        <f>B11/C11</f>
        <v>0.27131177965972986</v>
      </c>
    </row>
    <row r="13" spans="1:8" x14ac:dyDescent="0.25">
      <c r="A13" s="72" t="s">
        <v>56</v>
      </c>
    </row>
    <row r="14" spans="1:8" x14ac:dyDescent="0.25">
      <c r="A14" s="126" t="s">
        <v>55</v>
      </c>
      <c r="B14" s="127"/>
      <c r="C14" s="127"/>
      <c r="D14" s="128"/>
    </row>
    <row r="15" spans="1:8" x14ac:dyDescent="0.25">
      <c r="A15" s="15" t="s">
        <v>80</v>
      </c>
      <c r="B15" s="10" t="s">
        <v>54</v>
      </c>
      <c r="C15" s="18" t="s">
        <v>53</v>
      </c>
      <c r="D15" s="18" t="s">
        <v>52</v>
      </c>
      <c r="F15" s="71"/>
      <c r="H15" s="70" t="s">
        <v>52</v>
      </c>
    </row>
    <row r="16" spans="1:8" x14ac:dyDescent="0.25">
      <c r="A16" s="74" t="s">
        <v>79</v>
      </c>
      <c r="B16" s="68">
        <f>B4</f>
        <v>67780</v>
      </c>
      <c r="C16" s="68">
        <f>B10</f>
        <v>990018.64083606075</v>
      </c>
      <c r="D16" s="67">
        <f>B16/C16*1000</f>
        <v>68.46335735937302</v>
      </c>
      <c r="H16" s="69">
        <f>D4/D10</f>
        <v>68.463357359373035</v>
      </c>
    </row>
    <row r="17" spans="1:8" x14ac:dyDescent="0.25">
      <c r="A17" s="74" t="s">
        <v>35</v>
      </c>
      <c r="B17" s="68">
        <f>B5</f>
        <v>65003</v>
      </c>
      <c r="C17" s="68">
        <f>B11</f>
        <v>924662.81227048684</v>
      </c>
      <c r="D17" s="67">
        <f>B17/C17*1000</f>
        <v>70.299139467268859</v>
      </c>
      <c r="H17" s="66">
        <f>D5/D11</f>
        <v>70.299139467268844</v>
      </c>
    </row>
    <row r="19" spans="1:8" x14ac:dyDescent="0.25">
      <c r="A19" s="65" t="s">
        <v>49</v>
      </c>
      <c r="B19" s="65"/>
      <c r="C19" s="65"/>
      <c r="D19" s="65"/>
      <c r="E19" s="65"/>
      <c r="F19" s="65"/>
    </row>
    <row r="21" spans="1:8" x14ac:dyDescent="0.25">
      <c r="A21" s="120" t="s">
        <v>80</v>
      </c>
      <c r="B21" s="120" t="s">
        <v>48</v>
      </c>
      <c r="C21" s="120"/>
      <c r="D21" s="120"/>
      <c r="E21" s="120"/>
      <c r="F21" s="120"/>
    </row>
    <row r="22" spans="1:8" x14ac:dyDescent="0.25">
      <c r="A22" s="120"/>
      <c r="B22" s="10" t="s">
        <v>47</v>
      </c>
      <c r="C22" s="64" t="s">
        <v>46</v>
      </c>
      <c r="D22" s="64" t="s">
        <v>45</v>
      </c>
      <c r="E22" s="10" t="s">
        <v>44</v>
      </c>
      <c r="F22" s="64" t="s">
        <v>43</v>
      </c>
    </row>
    <row r="23" spans="1:8" x14ac:dyDescent="0.25">
      <c r="A23" s="63" t="s">
        <v>81</v>
      </c>
      <c r="B23" s="62">
        <f>(D5/D4-1)*100</f>
        <v>4.5797416928569534</v>
      </c>
      <c r="C23" s="62">
        <f>(D17/D16-1)*100</f>
        <v>2.6814082433316511</v>
      </c>
      <c r="D23" s="61">
        <f>('TGF, TBR y TNR'!G12/'TGF, TBR y TNR'!G27-1)*100</f>
        <v>0.9585572207640114</v>
      </c>
      <c r="E23" s="61">
        <f>('[1]TGF, TBR y TNR'!I13/'[1]TGF, TBR y TNR'!I28-1)*100</f>
        <v>-35.14622674782013</v>
      </c>
      <c r="F23" s="61">
        <f>('[1]TGF, TBR y TNR'!L14/'[1]TGF, TBR y TNR'!L29-1)*100</f>
        <v>-35.278778738481535</v>
      </c>
    </row>
  </sheetData>
  <mergeCells count="6">
    <mergeCell ref="A1:C1"/>
    <mergeCell ref="A2:D2"/>
    <mergeCell ref="A8:D8"/>
    <mergeCell ref="A14:D14"/>
    <mergeCell ref="A21:A22"/>
    <mergeCell ref="B21:F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abSelected="1" topLeftCell="A16" zoomScaleNormal="100" workbookViewId="0">
      <selection activeCell="L31" sqref="L31"/>
    </sheetView>
  </sheetViews>
  <sheetFormatPr baseColWidth="10" defaultColWidth="11.42578125" defaultRowHeight="12.75" x14ac:dyDescent="0.2"/>
  <cols>
    <col min="1" max="1" width="8.85546875" style="8" bestFit="1" customWidth="1"/>
    <col min="2" max="2" width="10.42578125" style="8" customWidth="1"/>
    <col min="3" max="4" width="6.42578125" style="8" customWidth="1"/>
    <col min="5" max="5" width="13.42578125" style="8" customWidth="1"/>
    <col min="6" max="6" width="11.42578125" style="8" bestFit="1" customWidth="1"/>
    <col min="7" max="7" width="11.42578125" style="8"/>
    <col min="8" max="8" width="11.85546875" style="8" bestFit="1" customWidth="1"/>
    <col min="9" max="12" width="11.42578125" style="8"/>
    <col min="13" max="16384" width="11.42578125" style="59"/>
  </cols>
  <sheetData>
    <row r="1" spans="1:15" x14ac:dyDescent="0.2">
      <c r="A1" s="72" t="s">
        <v>50</v>
      </c>
      <c r="I1" s="8" t="s">
        <v>12</v>
      </c>
    </row>
    <row r="2" spans="1:15" x14ac:dyDescent="0.2">
      <c r="A2" s="60"/>
      <c r="B2" s="60"/>
      <c r="C2" s="60"/>
      <c r="D2" s="60"/>
      <c r="E2" s="60"/>
      <c r="F2" s="60"/>
      <c r="G2" s="77"/>
      <c r="H2" s="60"/>
      <c r="I2" s="77">
        <f>100/205</f>
        <v>0.48780487804878048</v>
      </c>
      <c r="J2" s="60"/>
      <c r="K2" s="60"/>
      <c r="L2" s="60"/>
      <c r="N2" s="78">
        <f>G27-G12</f>
        <v>-2.1608033489078249E-2</v>
      </c>
    </row>
    <row r="3" spans="1:15" ht="38.25" x14ac:dyDescent="0.25">
      <c r="A3" s="79" t="s">
        <v>0</v>
      </c>
      <c r="B3" s="79" t="s">
        <v>64</v>
      </c>
      <c r="C3" s="79" t="s">
        <v>65</v>
      </c>
      <c r="D3" s="79" t="s">
        <v>66</v>
      </c>
      <c r="E3" s="79" t="s">
        <v>67</v>
      </c>
      <c r="F3" s="80" t="s">
        <v>68</v>
      </c>
      <c r="G3" s="79" t="s">
        <v>69</v>
      </c>
      <c r="H3" s="79" t="s">
        <v>70</v>
      </c>
      <c r="I3" s="79" t="s">
        <v>71</v>
      </c>
      <c r="J3" s="79" t="s">
        <v>72</v>
      </c>
      <c r="K3" s="79" t="s">
        <v>73</v>
      </c>
      <c r="L3" s="79" t="s">
        <v>74</v>
      </c>
      <c r="O3"/>
    </row>
    <row r="4" spans="1:15" x14ac:dyDescent="0.2">
      <c r="A4" s="52" t="s">
        <v>2</v>
      </c>
      <c r="B4" s="52">
        <v>17.5</v>
      </c>
      <c r="C4" s="81">
        <v>15</v>
      </c>
      <c r="D4" s="81">
        <v>19</v>
      </c>
      <c r="E4" s="82">
        <f>'Chihuahua 2010'!M4</f>
        <v>14662</v>
      </c>
      <c r="F4" s="83">
        <f>'Chihuahua 2010'!N4</f>
        <v>164495.41414710932</v>
      </c>
      <c r="G4" s="84">
        <f>E4/F4</f>
        <v>8.9133183900723695E-2</v>
      </c>
      <c r="H4" s="85">
        <f t="shared" ref="H4:H10" si="0">G4/$G$11</f>
        <v>0.19582542948266521</v>
      </c>
      <c r="I4" s="86">
        <f t="shared" ref="I4:I10" si="1">G4*$I$2</f>
        <v>4.3479601902792042E-2</v>
      </c>
      <c r="J4" s="81">
        <v>489434.44770716201</v>
      </c>
      <c r="K4" s="86">
        <f>J4/(5*100000)</f>
        <v>0.97886889541432398</v>
      </c>
      <c r="L4" s="86">
        <f>K4*I4</f>
        <v>4.2560829887640587E-2</v>
      </c>
    </row>
    <row r="5" spans="1:15" x14ac:dyDescent="0.2">
      <c r="A5" s="52" t="s">
        <v>3</v>
      </c>
      <c r="B5" s="52">
        <v>22.5</v>
      </c>
      <c r="C5" s="81">
        <v>20</v>
      </c>
      <c r="D5" s="81">
        <v>24</v>
      </c>
      <c r="E5" s="82">
        <f>'Chihuahua 2010'!M5</f>
        <v>19720</v>
      </c>
      <c r="F5" s="83">
        <f>'Chihuahua 2010'!N5</f>
        <v>147419.16003279763</v>
      </c>
      <c r="G5" s="84">
        <f t="shared" ref="G5:G10" si="2">E5/F5</f>
        <v>0.13376822928317267</v>
      </c>
      <c r="H5" s="85">
        <f t="shared" si="0"/>
        <v>0.29388853627947464</v>
      </c>
      <c r="I5" s="86">
        <f t="shared" si="1"/>
        <v>6.5252794772279354E-2</v>
      </c>
      <c r="J5" s="81">
        <v>486299.167266212</v>
      </c>
      <c r="K5" s="86">
        <f t="shared" ref="K5:K9" si="3">J5/(5*100000)</f>
        <v>0.97259833453242395</v>
      </c>
      <c r="L5" s="86">
        <f t="shared" ref="L5:L10" si="4">K5*I5</f>
        <v>6.3464759519104963E-2</v>
      </c>
    </row>
    <row r="6" spans="1:15" x14ac:dyDescent="0.2">
      <c r="A6" s="52" t="s">
        <v>7</v>
      </c>
      <c r="B6" s="52">
        <v>27.5</v>
      </c>
      <c r="C6" s="81">
        <v>25</v>
      </c>
      <c r="D6" s="81">
        <v>29</v>
      </c>
      <c r="E6" s="82">
        <f>'Chihuahua 2010'!M6</f>
        <v>15058</v>
      </c>
      <c r="F6" s="83">
        <f>'Chihuahua 2010'!N6</f>
        <v>132745.78846523297</v>
      </c>
      <c r="G6" s="84">
        <f t="shared" si="2"/>
        <v>0.11343486052624406</v>
      </c>
      <c r="H6" s="85">
        <f t="shared" si="0"/>
        <v>0.2492161651669397</v>
      </c>
      <c r="I6" s="86">
        <f t="shared" si="1"/>
        <v>5.5334078305484903E-2</v>
      </c>
      <c r="J6" s="81">
        <v>482737.42050721898</v>
      </c>
      <c r="K6" s="86">
        <f t="shared" si="3"/>
        <v>0.96547484101443792</v>
      </c>
      <c r="L6" s="86">
        <f t="shared" si="4"/>
        <v>5.3423660454668495E-2</v>
      </c>
    </row>
    <row r="7" spans="1:15" x14ac:dyDescent="0.2">
      <c r="A7" s="52" t="s">
        <v>9</v>
      </c>
      <c r="B7" s="52">
        <v>32.5</v>
      </c>
      <c r="C7" s="81">
        <v>30</v>
      </c>
      <c r="D7" s="81">
        <v>34</v>
      </c>
      <c r="E7" s="82">
        <f>'Chihuahua 2010'!M7</f>
        <v>9635</v>
      </c>
      <c r="F7" s="83">
        <f>'Chihuahua 2010'!N7</f>
        <v>131173.54420839273</v>
      </c>
      <c r="G7" s="84">
        <f t="shared" si="2"/>
        <v>7.3452311273171603E-2</v>
      </c>
      <c r="H7" s="85">
        <f t="shared" si="0"/>
        <v>0.16137458320330969</v>
      </c>
      <c r="I7" s="86">
        <f t="shared" si="1"/>
        <v>3.5830395743010536E-2</v>
      </c>
      <c r="J7" s="81">
        <v>478720.43641241099</v>
      </c>
      <c r="K7" s="86">
        <f t="shared" si="3"/>
        <v>0.95744087282482193</v>
      </c>
      <c r="L7" s="86">
        <f t="shared" si="4"/>
        <v>3.430548537384679E-2</v>
      </c>
    </row>
    <row r="8" spans="1:15" x14ac:dyDescent="0.2">
      <c r="A8" s="52" t="s">
        <v>11</v>
      </c>
      <c r="B8" s="52">
        <v>37.5</v>
      </c>
      <c r="C8" s="81">
        <v>35</v>
      </c>
      <c r="D8" s="81">
        <v>39</v>
      </c>
      <c r="E8" s="82">
        <f>'Chihuahua 2010'!M8</f>
        <v>4748</v>
      </c>
      <c r="F8" s="83">
        <f>'Chihuahua 2010'!N8</f>
        <v>135604.43820000431</v>
      </c>
      <c r="G8" s="84">
        <f t="shared" si="2"/>
        <v>3.5013603264202373E-2</v>
      </c>
      <c r="H8" s="85">
        <f t="shared" si="0"/>
        <v>7.6924817412389185E-2</v>
      </c>
      <c r="I8" s="86">
        <f t="shared" si="1"/>
        <v>1.7079806470342622E-2</v>
      </c>
      <c r="J8" s="81">
        <v>474615.59492137301</v>
      </c>
      <c r="K8" s="86">
        <f t="shared" si="3"/>
        <v>0.94923118984274601</v>
      </c>
      <c r="L8" s="86">
        <f t="shared" si="4"/>
        <v>1.621268501812716E-2</v>
      </c>
    </row>
    <row r="9" spans="1:15" x14ac:dyDescent="0.2">
      <c r="A9" s="52" t="s">
        <v>14</v>
      </c>
      <c r="B9" s="52">
        <v>42.5</v>
      </c>
      <c r="C9" s="81">
        <v>40</v>
      </c>
      <c r="D9" s="81">
        <v>44</v>
      </c>
      <c r="E9" s="82">
        <f>'Chihuahua 2010'!M9</f>
        <v>1050</v>
      </c>
      <c r="F9" s="83">
        <f>'Chihuahua 2010'!N9</f>
        <v>116382.70023539194</v>
      </c>
      <c r="G9" s="84">
        <f t="shared" si="2"/>
        <v>9.0219594310520686E-3</v>
      </c>
      <c r="H9" s="85">
        <f t="shared" si="0"/>
        <v>1.9821227101331097E-2</v>
      </c>
      <c r="I9" s="86">
        <f t="shared" si="1"/>
        <v>4.4009558200253989E-3</v>
      </c>
      <c r="J9" s="81">
        <v>470037.82590116397</v>
      </c>
      <c r="K9" s="86">
        <f t="shared" si="3"/>
        <v>0.94007565180232799</v>
      </c>
      <c r="L9" s="86">
        <f t="shared" si="4"/>
        <v>4.1372314110636257E-3</v>
      </c>
    </row>
    <row r="10" spans="1:15" x14ac:dyDescent="0.2">
      <c r="A10" s="52" t="s">
        <v>15</v>
      </c>
      <c r="B10" s="52">
        <v>47.5</v>
      </c>
      <c r="C10" s="81">
        <v>45</v>
      </c>
      <c r="D10" s="81">
        <v>49</v>
      </c>
      <c r="E10" s="82">
        <f>'Chihuahua 2010'!M10</f>
        <v>130</v>
      </c>
      <c r="F10" s="83">
        <f>'Chihuahua 2010'!N10</f>
        <v>96841.766981557957</v>
      </c>
      <c r="G10" s="84">
        <f t="shared" si="2"/>
        <v>1.3423959935051218E-3</v>
      </c>
      <c r="H10" s="85">
        <f t="shared" si="0"/>
        <v>2.9492413538905926E-3</v>
      </c>
      <c r="I10" s="86">
        <f t="shared" si="1"/>
        <v>6.5482731390493749E-4</v>
      </c>
      <c r="J10" s="81">
        <v>463489.958503998</v>
      </c>
      <c r="K10" s="86">
        <f>J10/(5*100000)</f>
        <v>0.92697991700799598</v>
      </c>
      <c r="L10" s="86">
        <f t="shared" si="4"/>
        <v>6.0701176909816793E-4</v>
      </c>
    </row>
    <row r="11" spans="1:15" x14ac:dyDescent="0.2">
      <c r="A11" s="87" t="s">
        <v>6</v>
      </c>
      <c r="B11" s="88"/>
      <c r="C11" s="88"/>
      <c r="D11" s="88"/>
      <c r="E11" s="89"/>
      <c r="F11" s="90"/>
      <c r="G11" s="91">
        <f>SUM(G4:G10)</f>
        <v>0.45516654367207154</v>
      </c>
      <c r="H11" s="92"/>
      <c r="I11" s="92"/>
      <c r="J11" s="93"/>
      <c r="K11" s="93"/>
      <c r="L11" s="94">
        <f>SUM(L4:L10)</f>
        <v>0.2147116634335498</v>
      </c>
    </row>
    <row r="12" spans="1:15" x14ac:dyDescent="0.2">
      <c r="A12" s="95"/>
      <c r="B12" s="95"/>
      <c r="C12" s="95"/>
      <c r="D12" s="95"/>
      <c r="E12" s="95"/>
      <c r="F12" s="96" t="s">
        <v>45</v>
      </c>
      <c r="G12" s="97">
        <f>SUM(G4:G10)*5</f>
        <v>2.2758327183603577</v>
      </c>
      <c r="H12" s="98"/>
    </row>
    <row r="13" spans="1:15" x14ac:dyDescent="0.2">
      <c r="F13" s="99" t="s">
        <v>44</v>
      </c>
      <c r="G13" s="100"/>
      <c r="H13" s="101"/>
      <c r="I13" s="102">
        <f>G12*I2</f>
        <v>1.1101623016391988</v>
      </c>
      <c r="K13" s="103" t="s">
        <v>75</v>
      </c>
      <c r="L13" s="102">
        <f>G12*'Chihuahua 2010'!Q8</f>
        <v>1.1179875129736119</v>
      </c>
    </row>
    <row r="14" spans="1:15" x14ac:dyDescent="0.2">
      <c r="F14" s="99" t="s">
        <v>43</v>
      </c>
      <c r="G14" s="104"/>
      <c r="H14" s="105"/>
      <c r="I14" s="105"/>
      <c r="J14" s="105"/>
      <c r="K14" s="105"/>
      <c r="L14" s="131">
        <f>L11*5</f>
        <v>1.073558317167749</v>
      </c>
    </row>
    <row r="16" spans="1:15" x14ac:dyDescent="0.2">
      <c r="A16" s="72" t="s">
        <v>51</v>
      </c>
    </row>
    <row r="17" spans="1:16" x14ac:dyDescent="0.2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</row>
    <row r="18" spans="1:16" ht="38.25" x14ac:dyDescent="0.2">
      <c r="A18" s="79" t="s">
        <v>0</v>
      </c>
      <c r="B18" s="79" t="s">
        <v>64</v>
      </c>
      <c r="C18" s="79" t="s">
        <v>65</v>
      </c>
      <c r="D18" s="79" t="s">
        <v>66</v>
      </c>
      <c r="E18" s="79" t="s">
        <v>67</v>
      </c>
      <c r="F18" s="80" t="s">
        <v>76</v>
      </c>
      <c r="G18" s="79" t="s">
        <v>69</v>
      </c>
      <c r="H18" s="79" t="s">
        <v>70</v>
      </c>
      <c r="I18" s="79" t="s">
        <v>71</v>
      </c>
      <c r="J18" s="79" t="s">
        <v>72</v>
      </c>
      <c r="K18" s="79" t="s">
        <v>73</v>
      </c>
      <c r="L18" s="79" t="s">
        <v>74</v>
      </c>
    </row>
    <row r="19" spans="1:16" x14ac:dyDescent="0.2">
      <c r="A19" s="52" t="s">
        <v>2</v>
      </c>
      <c r="B19" s="52">
        <v>17.5</v>
      </c>
      <c r="C19" s="81">
        <v>15</v>
      </c>
      <c r="D19" s="81">
        <v>19</v>
      </c>
      <c r="E19" s="106">
        <f>'Chihuahua 2019'!M4</f>
        <v>13227</v>
      </c>
      <c r="F19" s="83">
        <f>'Chihuahua 2019'!N4</f>
        <v>160989.2190935612</v>
      </c>
      <c r="G19" s="84">
        <f>E19/F19</f>
        <v>8.216078116580551E-2</v>
      </c>
      <c r="H19" s="85">
        <f>G19/$G$26</f>
        <v>0.1822373380018617</v>
      </c>
      <c r="I19" s="86">
        <f t="shared" ref="I19:I25" si="5">G19*$I$2</f>
        <v>4.0078429836978298E-2</v>
      </c>
      <c r="J19" s="81">
        <v>488781.65815275599</v>
      </c>
      <c r="K19" s="86">
        <f>J19/(5*100000)</f>
        <v>0.97756331630551196</v>
      </c>
      <c r="L19" s="86">
        <f t="shared" ref="L19:L25" si="6">K19*I19</f>
        <v>3.9179202783754287E-2</v>
      </c>
    </row>
    <row r="20" spans="1:16" x14ac:dyDescent="0.2">
      <c r="A20" s="52" t="s">
        <v>3</v>
      </c>
      <c r="B20" s="52">
        <v>22.5</v>
      </c>
      <c r="C20" s="81">
        <v>20</v>
      </c>
      <c r="D20" s="81">
        <v>24</v>
      </c>
      <c r="E20" s="106">
        <f>'Chihuahua 2019'!M5</f>
        <v>20308</v>
      </c>
      <c r="F20" s="83">
        <f>'Chihuahua 2019'!N5</f>
        <v>156377.22814420963</v>
      </c>
      <c r="G20" s="84">
        <f>E20/F20</f>
        <v>0.12986545573804487</v>
      </c>
      <c r="H20" s="85">
        <f t="shared" ref="H20:H25" si="7">G20/$G$26</f>
        <v>0.28804904987867352</v>
      </c>
      <c r="I20" s="86">
        <f t="shared" si="5"/>
        <v>6.3349002799046275E-2</v>
      </c>
      <c r="J20" s="81">
        <v>486372.907304044</v>
      </c>
      <c r="K20" s="86">
        <f>J20/(5*100000)</f>
        <v>0.97274581460808796</v>
      </c>
      <c r="L20" s="86">
        <f t="shared" si="6"/>
        <v>6.1622477332368315E-2</v>
      </c>
      <c r="O20" s="59" t="s">
        <v>51</v>
      </c>
      <c r="P20" s="59" t="s">
        <v>50</v>
      </c>
    </row>
    <row r="21" spans="1:16" x14ac:dyDescent="0.2">
      <c r="A21" s="52" t="s">
        <v>7</v>
      </c>
      <c r="B21" s="52">
        <v>27.5</v>
      </c>
      <c r="C21" s="81">
        <v>25</v>
      </c>
      <c r="D21" s="81">
        <v>29</v>
      </c>
      <c r="E21" s="106">
        <f>'Chihuahua 2019'!M6</f>
        <v>18618</v>
      </c>
      <c r="F21" s="83">
        <f>'Chihuahua 2019'!N6</f>
        <v>149368.23685762196</v>
      </c>
      <c r="G21" s="84">
        <f t="shared" ref="G21:G24" si="8">E21/F21</f>
        <v>0.12464497400305198</v>
      </c>
      <c r="H21" s="85">
        <f t="shared" si="7"/>
        <v>0.27646972114088403</v>
      </c>
      <c r="I21" s="86">
        <f t="shared" si="5"/>
        <v>6.0802426342952187E-2</v>
      </c>
      <c r="J21" s="81">
        <v>483709.68867285002</v>
      </c>
      <c r="K21" s="86">
        <f>J21/(5*100000)</f>
        <v>0.96741937734570005</v>
      </c>
      <c r="L21" s="86">
        <f t="shared" si="6"/>
        <v>5.8821445433806595E-2</v>
      </c>
      <c r="N21" s="59" t="str">
        <f>F28</f>
        <v>TBR</v>
      </c>
      <c r="O21" s="107">
        <f>I28</f>
        <v>1.099621797498185</v>
      </c>
      <c r="P21" s="107">
        <f>I13</f>
        <v>1.1101623016391988</v>
      </c>
    </row>
    <row r="22" spans="1:16" x14ac:dyDescent="0.2">
      <c r="A22" s="52" t="s">
        <v>9</v>
      </c>
      <c r="B22" s="52">
        <v>32.5</v>
      </c>
      <c r="C22" s="81">
        <v>30</v>
      </c>
      <c r="D22" s="81">
        <v>34</v>
      </c>
      <c r="E22" s="106">
        <f>'Chihuahua 2019'!M7</f>
        <v>10132</v>
      </c>
      <c r="F22" s="83">
        <f>'Chihuahua 2019'!N7</f>
        <v>139594.54671109855</v>
      </c>
      <c r="G22" s="84">
        <f t="shared" si="8"/>
        <v>7.258163186681596E-2</v>
      </c>
      <c r="H22" s="85">
        <f t="shared" si="7"/>
        <v>0.16099023392373263</v>
      </c>
      <c r="I22" s="86">
        <f t="shared" si="5"/>
        <v>3.5405674081373635E-2</v>
      </c>
      <c r="J22" s="81">
        <v>480957.629030996</v>
      </c>
      <c r="K22" s="86">
        <f t="shared" ref="K22:K24" si="9">J22/(5*100000)</f>
        <v>0.96191525806199196</v>
      </c>
      <c r="L22" s="86">
        <f t="shared" si="6"/>
        <v>3.4057258120843301E-2</v>
      </c>
      <c r="N22" s="59" t="str">
        <f>F29</f>
        <v>TNR</v>
      </c>
      <c r="O22" s="107">
        <f>L29</f>
        <v>1.0650937065211443</v>
      </c>
      <c r="P22" s="107">
        <f>L14</f>
        <v>1.073558317167749</v>
      </c>
    </row>
    <row r="23" spans="1:16" x14ac:dyDescent="0.2">
      <c r="A23" s="52" t="s">
        <v>11</v>
      </c>
      <c r="B23" s="52">
        <v>37.5</v>
      </c>
      <c r="C23" s="81">
        <v>35</v>
      </c>
      <c r="D23" s="81">
        <v>39</v>
      </c>
      <c r="E23" s="106">
        <f>'Chihuahua 2019'!M8</f>
        <v>4453</v>
      </c>
      <c r="F23" s="83">
        <f>'Chihuahua 2019'!N8</f>
        <v>133491.90613115014</v>
      </c>
      <c r="G23" s="84">
        <f t="shared" si="8"/>
        <v>3.3357827669530139E-2</v>
      </c>
      <c r="H23" s="85">
        <f t="shared" si="7"/>
        <v>7.3989580305378777E-2</v>
      </c>
      <c r="I23" s="86">
        <f t="shared" si="5"/>
        <v>1.6272111058307386E-2</v>
      </c>
      <c r="J23" s="81">
        <v>477650.93484525301</v>
      </c>
      <c r="K23" s="86">
        <f t="shared" si="9"/>
        <v>0.95530186969050601</v>
      </c>
      <c r="L23" s="86">
        <f t="shared" si="6"/>
        <v>1.5544778117812604E-2</v>
      </c>
      <c r="N23" s="59" t="s">
        <v>77</v>
      </c>
      <c r="O23" s="107">
        <f>O21-O22</f>
        <v>3.4528090977040682E-2</v>
      </c>
      <c r="P23" s="107">
        <f>P21-P22</f>
        <v>3.6603984471449857E-2</v>
      </c>
    </row>
    <row r="24" spans="1:16" x14ac:dyDescent="0.2">
      <c r="A24" s="52" t="s">
        <v>14</v>
      </c>
      <c r="B24" s="52">
        <v>42.5</v>
      </c>
      <c r="C24" s="81">
        <v>40</v>
      </c>
      <c r="D24" s="81">
        <v>44</v>
      </c>
      <c r="E24" s="106">
        <f>'Chihuahua 2019'!M9</f>
        <v>918</v>
      </c>
      <c r="F24" s="83">
        <f>'Chihuahua 2019'!N9</f>
        <v>127012.18353781839</v>
      </c>
      <c r="G24" s="84">
        <f t="shared" si="8"/>
        <v>7.227653083585181E-3</v>
      </c>
      <c r="H24" s="85">
        <f t="shared" si="7"/>
        <v>1.6031350228954425E-2</v>
      </c>
      <c r="I24" s="86">
        <f t="shared" si="5"/>
        <v>3.5256844310171615E-3</v>
      </c>
      <c r="J24" s="81">
        <v>472986.943211073</v>
      </c>
      <c r="K24" s="86">
        <f t="shared" si="9"/>
        <v>0.94597388642214597</v>
      </c>
      <c r="L24" s="86">
        <f t="shared" si="6"/>
        <v>3.3352054035073568E-3</v>
      </c>
    </row>
    <row r="25" spans="1:16" x14ac:dyDescent="0.2">
      <c r="A25" s="52" t="s">
        <v>15</v>
      </c>
      <c r="B25" s="52">
        <v>47.5</v>
      </c>
      <c r="C25" s="81">
        <v>45</v>
      </c>
      <c r="D25" s="81">
        <v>49</v>
      </c>
      <c r="E25" s="106">
        <f>'Chihuahua 2019'!M10</f>
        <v>124</v>
      </c>
      <c r="F25" s="83">
        <f>'Chihuahua 2019'!N10</f>
        <v>123185.32036060077</v>
      </c>
      <c r="G25" s="84">
        <f>E25/F25</f>
        <v>1.0066134474222611E-3</v>
      </c>
      <c r="H25" s="85">
        <f t="shared" si="7"/>
        <v>2.2327265205148361E-3</v>
      </c>
      <c r="I25" s="86">
        <f t="shared" si="5"/>
        <v>4.9103094996207856E-4</v>
      </c>
      <c r="J25" s="81">
        <v>466746.66044146899</v>
      </c>
      <c r="K25" s="86">
        <f>J25/(5*100000)</f>
        <v>0.93349332088293802</v>
      </c>
      <c r="L25" s="86">
        <f t="shared" si="6"/>
        <v>4.5837411213640449E-4</v>
      </c>
    </row>
    <row r="26" spans="1:16" x14ac:dyDescent="0.2">
      <c r="A26" s="87" t="s">
        <v>6</v>
      </c>
      <c r="B26" s="88"/>
      <c r="C26" s="88"/>
      <c r="D26" s="88"/>
      <c r="E26" s="89"/>
      <c r="F26" s="90"/>
      <c r="G26" s="91">
        <f>SUM(G19:G25)</f>
        <v>0.45084493697425593</v>
      </c>
      <c r="H26" s="92"/>
      <c r="I26" s="92"/>
      <c r="J26" s="93"/>
      <c r="K26" s="93"/>
      <c r="L26" s="94">
        <f>SUM(L19:L25)</f>
        <v>0.21301874130422885</v>
      </c>
    </row>
    <row r="27" spans="1:16" x14ac:dyDescent="0.2">
      <c r="A27" s="95"/>
      <c r="B27" s="95"/>
      <c r="C27" s="95"/>
      <c r="D27" s="95"/>
      <c r="E27" s="95"/>
      <c r="F27" s="96" t="s">
        <v>45</v>
      </c>
      <c r="G27" s="97">
        <f>SUM(G19:G25)*5</f>
        <v>2.2542246848712795</v>
      </c>
      <c r="H27" s="98"/>
    </row>
    <row r="28" spans="1:16" x14ac:dyDescent="0.2">
      <c r="F28" s="99" t="s">
        <v>44</v>
      </c>
      <c r="G28" s="100"/>
      <c r="H28" s="101"/>
      <c r="I28" s="102">
        <f>G27*I2</f>
        <v>1.099621797498185</v>
      </c>
      <c r="K28" s="103" t="s">
        <v>75</v>
      </c>
      <c r="L28" s="102">
        <f>G27*'Chihuahua 2019'!Q8</f>
        <v>1.1066083629928354</v>
      </c>
    </row>
    <row r="29" spans="1:16" x14ac:dyDescent="0.2">
      <c r="F29" s="99" t="s">
        <v>43</v>
      </c>
      <c r="G29" s="104"/>
      <c r="H29" s="105"/>
      <c r="I29" s="105"/>
      <c r="J29" s="105"/>
      <c r="K29" s="105"/>
      <c r="L29" s="131">
        <f>L26*5</f>
        <v>1.0650937065211443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5121" r:id="rId4">
          <objectPr defaultSize="0" r:id="rId5">
            <anchor moveWithCells="1" sizeWithCells="1">
              <from>
                <xdr:col>3</xdr:col>
                <xdr:colOff>0</xdr:colOff>
                <xdr:row>11</xdr:row>
                <xdr:rowOff>66675</xdr:rowOff>
              </from>
              <to>
                <xdr:col>4</xdr:col>
                <xdr:colOff>838200</xdr:colOff>
                <xdr:row>13</xdr:row>
                <xdr:rowOff>152400</xdr:rowOff>
              </to>
            </anchor>
          </objectPr>
        </oleObject>
      </mc:Choice>
      <mc:Fallback>
        <oleObject progId="PBrush" shapeId="512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Chihuahua 2010</vt:lpstr>
      <vt:lpstr>Chihuahua 2019</vt:lpstr>
      <vt:lpstr>Cuadros a, b, c y d</vt:lpstr>
      <vt:lpstr>TGF, TBR y TNR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Hernández Leyva</dc:creator>
  <cp:lastModifiedBy>Maria Isabel Hernández Leyva</cp:lastModifiedBy>
  <dcterms:created xsi:type="dcterms:W3CDTF">2026-06-06T08:06:04Z</dcterms:created>
  <dcterms:modified xsi:type="dcterms:W3CDTF">2026-06-06T17:12:28Z</dcterms:modified>
</cp:coreProperties>
</file>