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abe\Documents\PrelimiDem\"/>
    </mc:Choice>
  </mc:AlternateContent>
  <bookViews>
    <workbookView xWindow="0" yWindow="0" windowWidth="20490" windowHeight="8940"/>
  </bookViews>
  <sheets>
    <sheet name="hoja" sheetId="1" r:id="rId1"/>
  </sheets>
  <calcPr calcId="162913"/>
</workbook>
</file>

<file path=xl/calcChain.xml><?xml version="1.0" encoding="utf-8"?>
<calcChain xmlns="http://schemas.openxmlformats.org/spreadsheetml/2006/main">
  <c r="BJ16" i="1" l="1"/>
  <c r="BJ15" i="1"/>
  <c r="BJ11" i="1"/>
  <c r="BJ12" i="1"/>
  <c r="BJ10" i="1"/>
  <c r="BJ8" i="1"/>
  <c r="BJ9" i="1"/>
  <c r="BJ7" i="1"/>
  <c r="BI16" i="1"/>
  <c r="BI15" i="1"/>
  <c r="BI11" i="1"/>
  <c r="BI12" i="1"/>
  <c r="BI10" i="1"/>
  <c r="BI8" i="1"/>
  <c r="BI9" i="1"/>
  <c r="BI7" i="1"/>
  <c r="BA7" i="1"/>
  <c r="BE7" i="1"/>
  <c r="BE11" i="1"/>
  <c r="BE12" i="1"/>
  <c r="BE10" i="1"/>
  <c r="BE8" i="1"/>
  <c r="BE9" i="1"/>
  <c r="BG11" i="1"/>
  <c r="BG12" i="1"/>
  <c r="BG10" i="1"/>
  <c r="BG8" i="1"/>
  <c r="BG9" i="1"/>
  <c r="BG7" i="1"/>
  <c r="BA8" i="1" l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</calcChain>
</file>

<file path=xl/sharedStrings.xml><?xml version="1.0" encoding="utf-8"?>
<sst xmlns="http://schemas.openxmlformats.org/spreadsheetml/2006/main" count="135" uniqueCount="65">
  <si>
    <t>Defunciones registradas (mortalidad general)</t>
  </si>
  <si>
    <t>Ent y mun de registro : Chihuahua</t>
  </si>
  <si>
    <t/>
  </si>
  <si>
    <t>Consulta de: Defunciones registradas   Por: Sexo y Año de registro   Según: Lista mex enfermedades</t>
  </si>
  <si>
    <t>(01) Enfermedades infecciosas intestinales</t>
  </si>
  <si>
    <t>(02) Tuberculosis</t>
  </si>
  <si>
    <t>(03) Otras enfermedades bacterianas</t>
  </si>
  <si>
    <t>(04) Infecciones con modo de transmisión predominantemente sexual</t>
  </si>
  <si>
    <t>(05) Otras enfermedades infecciosas y parasitarias y efectos tardíos de las enfermedades infecciosas y parasitarias</t>
  </si>
  <si>
    <t>(06) Enfermedades víricas</t>
  </si>
  <si>
    <t>(07) Rickettsiosis y otras enfermedades debidas a protozoarios</t>
  </si>
  <si>
    <t>(08) Tumores malignos del labio, de la cavidad bucal y de la faringe</t>
  </si>
  <si>
    <t>(09) Tumores malignos de los órganos digestivos</t>
  </si>
  <si>
    <t>(10) Tumor maligno de órganos respiratorios e intratorácicos</t>
  </si>
  <si>
    <t>(11) Tumores malignos de los huesos, de los cartílagos articulares, del tejido conjuntivo, de la piel y de la mama</t>
  </si>
  <si>
    <t>(12) Tumores malignos de los órganos genitourinarios</t>
  </si>
  <si>
    <t>(13) Tumores malignos de otros sitios y de los no especificados</t>
  </si>
  <si>
    <t>(14) Tumores malignos del tejido linfático, de los órganos hematopoyéticos y tejidos afines</t>
  </si>
  <si>
    <t>(15) Tumores malignos (primarios) de sitios múltiples independientes</t>
  </si>
  <si>
    <t>(16) Tumores in situ</t>
  </si>
  <si>
    <t>(17) Tumores Benignos</t>
  </si>
  <si>
    <t>(18) Tumores de comportamiento incierto o desconocido</t>
  </si>
  <si>
    <t>(19) Enfermedades de la sangre y de los órganos hematopoyéticos, y ciertos trastornos que afectan el mecanismo de la inmunidad</t>
  </si>
  <si>
    <t>(20) Enfermedades endocrinas y metabólicas</t>
  </si>
  <si>
    <t>(21) Desnutrición y otras deficiencias nutricionales</t>
  </si>
  <si>
    <t>(22) Trastornos mentales y del comportamiento</t>
  </si>
  <si>
    <t>(23) Enfermedades del sistema nervioso</t>
  </si>
  <si>
    <t>(24) Enfermedades del ojo y sus anexos</t>
  </si>
  <si>
    <t>(25) Enfermedades del oído y de la apófisis mastoides</t>
  </si>
  <si>
    <t>(26) Fiebre reumática aguda y enfermedades cardíacas reumáticas crónicas</t>
  </si>
  <si>
    <t>(27) Enfermedades hipertensivas</t>
  </si>
  <si>
    <t>(28) Enfermedades isquémicas del corazón</t>
  </si>
  <si>
    <t>(29) Enfermedades de la circulación pulmonar y otras enfermedades del corazón</t>
  </si>
  <si>
    <t>(30) Enfermedades cerebrovasculares</t>
  </si>
  <si>
    <t>(31) Otras enfermedades del aparato circulatorio</t>
  </si>
  <si>
    <t>(32) Infecciones y otras enfermedades de las vías respiratorias superiores</t>
  </si>
  <si>
    <t>(33) Otras enfermedades del aparato respiratorio</t>
  </si>
  <si>
    <t>(34) Enfermedades de la cavidad bucal, de las glándulas salivales y de los maxilares</t>
  </si>
  <si>
    <t>(35) Enfermedades de otras partes del aparato digestivo</t>
  </si>
  <si>
    <t>(36) Enfermedades de la piel y del tejido  subcutáneo</t>
  </si>
  <si>
    <t>(37) Enfermedades del sistema osteomuscular y del tejido conjuntivo</t>
  </si>
  <si>
    <t>(38) Enfermedades del aparato urinario</t>
  </si>
  <si>
    <t>(39) Enfermedades de los órganos genitales masculinos</t>
  </si>
  <si>
    <t>(40) Trastornos de la mama</t>
  </si>
  <si>
    <t>(41) Enfermedades de los órganos genitales femeninos</t>
  </si>
  <si>
    <t>(43) Causas obstétricas directas</t>
  </si>
  <si>
    <t>(45) Causas obstétricas indirectas</t>
  </si>
  <si>
    <t>(46) Ciertas afecciones originadas en el período perinatal</t>
  </si>
  <si>
    <t>(47) Malformaciones congénitas, deformidades y anomalías cromosómicas</t>
  </si>
  <si>
    <t>(48) Síntomas, signos y hallazgos anormales clínicos y de laboratorio, no clasificados en otra parte</t>
  </si>
  <si>
    <t>Hombre</t>
  </si>
  <si>
    <t>Mujer</t>
  </si>
  <si>
    <t>Fuente: INEGI. Estadísticas de Defunciones Registradas (EDR).</t>
  </si>
  <si>
    <t>sexo</t>
  </si>
  <si>
    <t>year</t>
  </si>
  <si>
    <t>total</t>
  </si>
  <si>
    <t>Sexo</t>
  </si>
  <si>
    <t>Enfermedad</t>
  </si>
  <si>
    <t>Proporción de muertes de la enfermedad</t>
  </si>
  <si>
    <t>Año</t>
  </si>
  <si>
    <t>No. Muertes</t>
  </si>
  <si>
    <t>Ranking</t>
  </si>
  <si>
    <t>Muertes totales 2020 hombre</t>
  </si>
  <si>
    <t>Muertes totales 2020 mujer</t>
  </si>
  <si>
    <t>Proporción de muertes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</si>
</sst>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ont="1" applyProtection="1"/>
    <xf numFmtId="164" fontId="0" fillId="0" borderId="0" xfId="0" applyNumberFormat="1" applyFont="1" applyAlignment="1" applyProtection="1">
      <alignment horizontal="left" vertical="top"/>
    </xf>
    <xf numFmtId="164" fontId="0" fillId="0" borderId="0" xfId="0" applyNumberFormat="1" applyFont="1" applyAlignment="1" applyProtection="1">
      <alignment horizontal="left" vertical="top"/>
    </xf>
    <xf numFmtId="0" fontId="0" fillId="0" borderId="0" xfId="0" applyNumberFormat="1" applyFont="1" applyAlignment="1" applyProtection="1">
      <alignment horizontal="left" vertical="top"/>
    </xf>
    <xf numFmtId="164" fontId="0" fillId="0" borderId="0" xfId="0" applyNumberFormat="1" applyFont="1" applyAlignment="1" applyProtection="1">
      <alignment horizontal="left" vertical="top"/>
    </xf>
    <xf numFmtId="1" fontId="0" fillId="0" borderId="0" xfId="0" applyNumberFormat="1" applyFont="1" applyAlignment="1" applyProtection="1">
      <alignment horizontal="left" vertical="top"/>
    </xf>
    <xf numFmtId="0" fontId="0" fillId="0" borderId="0" xfId="0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3"/>
  <sheetViews>
    <sheetView tabSelected="1" topLeftCell="AY1" workbookViewId="0">
      <selection activeCell="AD24" sqref="AD24"/>
    </sheetView>
  </sheetViews>
  <sheetFormatPr baseColWidth="10" defaultColWidth="9.140625" defaultRowHeight="15"/>
  <cols>
    <col min="2" max="2" width="9.140625" customWidth="1"/>
    <col min="3" max="3" width="38.7109375" customWidth="1"/>
    <col min="4" max="4" width="16.42578125" customWidth="1"/>
    <col min="5" max="5" width="34" customWidth="1"/>
    <col min="6" max="6" width="62.85546875" customWidth="1"/>
    <col min="7" max="7" width="101.42578125" customWidth="1"/>
    <col min="8" max="8" width="24.140625" customWidth="1"/>
    <col min="9" max="9" width="56.28515625" customWidth="1"/>
    <col min="10" max="10" width="60" customWidth="1"/>
    <col min="11" max="11" width="43.85546875" customWidth="1"/>
    <col min="12" max="12" width="54.7109375" customWidth="1"/>
    <col min="13" max="13" width="98.85546875" customWidth="1"/>
    <col min="14" max="14" width="48.5703125" customWidth="1"/>
    <col min="15" max="15" width="56.42578125" customWidth="1"/>
    <col min="16" max="16" width="80.85546875" customWidth="1"/>
    <col min="17" max="17" width="62.140625" customWidth="1"/>
    <col min="18" max="18" width="18.85546875" customWidth="1"/>
    <col min="19" max="19" width="21.5703125" customWidth="1"/>
    <col min="20" max="20" width="51.5703125" customWidth="1"/>
    <col min="21" max="21" width="115.7109375" customWidth="1"/>
    <col min="22" max="22" width="40.7109375" customWidth="1"/>
    <col min="23" max="23" width="45.5703125" customWidth="1"/>
    <col min="24" max="24" width="43.42578125" customWidth="1"/>
    <col min="25" max="25" width="36.5703125" customWidth="1"/>
    <col min="26" max="26" width="36" customWidth="1"/>
    <col min="27" max="27" width="48.42578125" customWidth="1"/>
    <col min="28" max="28" width="67.28515625" customWidth="1"/>
    <col min="29" max="29" width="30.28515625" customWidth="1"/>
    <col min="30" max="30" width="38.85546875" customWidth="1"/>
    <col min="31" max="31" width="72" customWidth="1"/>
    <col min="32" max="32" width="34.5703125" customWidth="1"/>
    <col min="33" max="33" width="44.42578125" customWidth="1"/>
    <col min="34" max="34" width="65.5703125" customWidth="1"/>
    <col min="35" max="35" width="44.7109375" customWidth="1"/>
    <col min="36" max="36" width="73.85546875" customWidth="1"/>
    <col min="37" max="37" width="50.7109375" customWidth="1"/>
    <col min="38" max="38" width="48" customWidth="1"/>
    <col min="39" max="39" width="62" customWidth="1"/>
    <col min="40" max="40" width="36" customWidth="1"/>
    <col min="41" max="41" width="49.85546875" customWidth="1"/>
    <col min="42" max="42" width="25.5703125" customWidth="1"/>
    <col min="43" max="43" width="49.42578125" customWidth="1"/>
    <col min="44" max="44" width="29" customWidth="1"/>
    <col min="45" max="45" width="30.7109375" customWidth="1"/>
    <col min="46" max="46" width="51.28515625" customWidth="1"/>
    <col min="47" max="47" width="66.85546875" customWidth="1"/>
    <col min="48" max="48" width="86.85546875" customWidth="1"/>
    <col min="49" max="50" width="9.140625" customWidth="1"/>
    <col min="53" max="53" width="9.42578125" bestFit="1" customWidth="1"/>
    <col min="56" max="56" width="6.5703125" customWidth="1"/>
    <col min="57" max="57" width="12.42578125" customWidth="1"/>
    <col min="58" max="58" width="9.7109375" customWidth="1"/>
    <col min="59" max="59" width="41.5703125" customWidth="1"/>
    <col min="60" max="60" width="8.85546875" customWidth="1"/>
    <col min="61" max="61" width="37.28515625" customWidth="1"/>
    <col min="62" max="62" width="25.42578125" customWidth="1"/>
  </cols>
  <sheetData>
    <row r="1" spans="1:62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4"/>
    </row>
    <row r="2" spans="1:62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4"/>
    </row>
    <row r="3" spans="1:62">
      <c r="A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</row>
    <row r="4" spans="1:62">
      <c r="A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4"/>
    </row>
    <row r="5" spans="1:6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62">
      <c r="A6" t="s">
        <v>2</v>
      </c>
      <c r="B6" s="1" t="s">
        <v>2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30</v>
      </c>
      <c r="AD6" s="1" t="s">
        <v>31</v>
      </c>
      <c r="AE6" s="1" t="s">
        <v>32</v>
      </c>
      <c r="AF6" s="1" t="s">
        <v>33</v>
      </c>
      <c r="AG6" s="1" t="s">
        <v>34</v>
      </c>
      <c r="AH6" s="1" t="s">
        <v>35</v>
      </c>
      <c r="AI6" s="1" t="s">
        <v>36</v>
      </c>
      <c r="AJ6" s="1" t="s">
        <v>37</v>
      </c>
      <c r="AK6" s="1" t="s">
        <v>38</v>
      </c>
      <c r="AL6" s="1" t="s">
        <v>39</v>
      </c>
      <c r="AM6" s="1" t="s">
        <v>40</v>
      </c>
      <c r="AN6" s="1" t="s">
        <v>41</v>
      </c>
      <c r="AO6" s="1" t="s">
        <v>42</v>
      </c>
      <c r="AP6" s="1" t="s">
        <v>43</v>
      </c>
      <c r="AQ6" s="1" t="s">
        <v>44</v>
      </c>
      <c r="AR6" s="1" t="s">
        <v>45</v>
      </c>
      <c r="AS6" s="1" t="s">
        <v>46</v>
      </c>
      <c r="AT6" s="1" t="s">
        <v>47</v>
      </c>
      <c r="AU6" s="1" t="s">
        <v>48</v>
      </c>
      <c r="AV6" s="1" t="s">
        <v>49</v>
      </c>
      <c r="AW6" s="1"/>
      <c r="AX6" s="1"/>
      <c r="AY6" s="1" t="s">
        <v>53</v>
      </c>
      <c r="AZ6" s="1" t="s">
        <v>54</v>
      </c>
      <c r="BA6" s="1" t="s">
        <v>55</v>
      </c>
      <c r="BD6" s="2" t="s">
        <v>59</v>
      </c>
      <c r="BE6" s="2" t="s">
        <v>60</v>
      </c>
      <c r="BF6" s="2" t="s">
        <v>56</v>
      </c>
      <c r="BG6" s="2" t="s">
        <v>57</v>
      </c>
      <c r="BH6" s="2" t="s">
        <v>61</v>
      </c>
      <c r="BI6" s="2" t="s">
        <v>58</v>
      </c>
      <c r="BJ6" s="2" t="s">
        <v>64</v>
      </c>
    </row>
    <row r="7" spans="1:62">
      <c r="A7" t="s">
        <v>50</v>
      </c>
      <c r="B7" s="3">
        <v>2008</v>
      </c>
      <c r="C7" s="5">
        <v>51</v>
      </c>
      <c r="D7" s="5">
        <v>78</v>
      </c>
      <c r="E7" s="5">
        <v>63</v>
      </c>
      <c r="F7" s="5">
        <v>2</v>
      </c>
      <c r="G7" s="5">
        <v>11</v>
      </c>
      <c r="H7" s="5">
        <v>218</v>
      </c>
      <c r="I7" s="5">
        <v>0</v>
      </c>
      <c r="J7" s="5">
        <v>26</v>
      </c>
      <c r="K7" s="5">
        <v>335</v>
      </c>
      <c r="L7" s="5">
        <v>292</v>
      </c>
      <c r="M7" s="5">
        <v>74</v>
      </c>
      <c r="N7" s="5">
        <v>233</v>
      </c>
      <c r="O7" s="5">
        <v>99</v>
      </c>
      <c r="P7" s="5">
        <v>111</v>
      </c>
      <c r="Q7" s="5">
        <v>8</v>
      </c>
      <c r="R7" s="5">
        <v>0</v>
      </c>
      <c r="S7" s="5">
        <v>6</v>
      </c>
      <c r="T7" s="5">
        <v>62</v>
      </c>
      <c r="U7" s="5">
        <v>53</v>
      </c>
      <c r="V7" s="5">
        <v>1220</v>
      </c>
      <c r="W7" s="5">
        <v>110</v>
      </c>
      <c r="X7" s="5">
        <v>132</v>
      </c>
      <c r="Y7" s="5">
        <v>195</v>
      </c>
      <c r="Z7" s="5">
        <v>0</v>
      </c>
      <c r="AA7" s="5">
        <v>2</v>
      </c>
      <c r="AB7" s="5">
        <v>11</v>
      </c>
      <c r="AC7" s="5">
        <v>231</v>
      </c>
      <c r="AD7" s="5">
        <v>1558</v>
      </c>
      <c r="AE7" s="5">
        <v>268</v>
      </c>
      <c r="AF7" s="5">
        <v>441</v>
      </c>
      <c r="AG7" s="5">
        <v>72</v>
      </c>
      <c r="AH7" s="5">
        <v>10</v>
      </c>
      <c r="AI7" s="5">
        <v>887</v>
      </c>
      <c r="AJ7" s="5">
        <v>0</v>
      </c>
      <c r="AK7" s="5">
        <v>1019</v>
      </c>
      <c r="AL7" s="5">
        <v>24</v>
      </c>
      <c r="AM7" s="5">
        <v>37</v>
      </c>
      <c r="AN7" s="5">
        <v>234</v>
      </c>
      <c r="AO7" s="5">
        <v>23</v>
      </c>
      <c r="AP7" s="5">
        <v>1</v>
      </c>
      <c r="AQ7" s="5">
        <v>0</v>
      </c>
      <c r="AR7" s="5">
        <v>0</v>
      </c>
      <c r="AS7" s="5">
        <v>0</v>
      </c>
      <c r="AT7" s="5">
        <v>295</v>
      </c>
      <c r="AU7" s="5">
        <v>138</v>
      </c>
      <c r="AV7" s="5">
        <v>134</v>
      </c>
      <c r="AW7" s="1"/>
      <c r="AX7" s="1"/>
      <c r="AY7" t="s">
        <v>50</v>
      </c>
      <c r="AZ7" s="3">
        <v>2008</v>
      </c>
      <c r="BA7">
        <f>SUM(C7:AV7)</f>
        <v>8764</v>
      </c>
      <c r="BD7">
        <v>2020</v>
      </c>
      <c r="BE7">
        <f>LARGE($C$19:$AV$19, ROW(BE7)-6)</f>
        <v>4660</v>
      </c>
      <c r="BF7" t="s">
        <v>50</v>
      </c>
      <c r="BG7" t="str">
        <f ca="1">INDIRECT(ADDRESS(6,2+ MATCH(BE7,$C$19:$AV$19,0)))</f>
        <v>(06) Enfermedades víricas</v>
      </c>
      <c r="BH7">
        <v>1</v>
      </c>
      <c r="BI7">
        <f>BE7/$BA$19</f>
        <v>0.2413132411578893</v>
      </c>
      <c r="BJ7">
        <f>BE7/$BH$15</f>
        <v>0.19340914750560306</v>
      </c>
    </row>
    <row r="8" spans="1:62">
      <c r="A8" t="s">
        <v>50</v>
      </c>
      <c r="B8" s="3">
        <v>2009</v>
      </c>
      <c r="C8" s="5">
        <v>40</v>
      </c>
      <c r="D8" s="5">
        <v>59</v>
      </c>
      <c r="E8" s="5">
        <v>53</v>
      </c>
      <c r="F8" s="5">
        <v>1</v>
      </c>
      <c r="G8" s="5">
        <v>12</v>
      </c>
      <c r="H8" s="5">
        <v>154</v>
      </c>
      <c r="I8" s="5">
        <v>0</v>
      </c>
      <c r="J8" s="5">
        <v>15</v>
      </c>
      <c r="K8" s="5">
        <v>340</v>
      </c>
      <c r="L8" s="5">
        <v>272</v>
      </c>
      <c r="M8" s="5">
        <v>68</v>
      </c>
      <c r="N8" s="5">
        <v>263</v>
      </c>
      <c r="O8" s="5">
        <v>131</v>
      </c>
      <c r="P8" s="5">
        <v>116</v>
      </c>
      <c r="Q8" s="5">
        <v>4</v>
      </c>
      <c r="R8" s="5">
        <v>0</v>
      </c>
      <c r="S8" s="5">
        <v>7</v>
      </c>
      <c r="T8" s="5">
        <v>53</v>
      </c>
      <c r="U8" s="5">
        <v>50</v>
      </c>
      <c r="V8" s="5">
        <v>1266</v>
      </c>
      <c r="W8" s="5">
        <v>124</v>
      </c>
      <c r="X8" s="5">
        <v>119</v>
      </c>
      <c r="Y8" s="5">
        <v>198</v>
      </c>
      <c r="Z8" s="5">
        <v>0</v>
      </c>
      <c r="AA8" s="5">
        <v>2</v>
      </c>
      <c r="AB8" s="5">
        <v>3</v>
      </c>
      <c r="AC8" s="5">
        <v>252</v>
      </c>
      <c r="AD8" s="5">
        <v>1504</v>
      </c>
      <c r="AE8" s="5">
        <v>253</v>
      </c>
      <c r="AF8" s="5">
        <v>481</v>
      </c>
      <c r="AG8" s="5">
        <v>83</v>
      </c>
      <c r="AH8" s="5">
        <v>7</v>
      </c>
      <c r="AI8" s="5">
        <v>1013</v>
      </c>
      <c r="AJ8" s="5">
        <v>2</v>
      </c>
      <c r="AK8" s="5">
        <v>974</v>
      </c>
      <c r="AL8" s="5">
        <v>22</v>
      </c>
      <c r="AM8" s="5">
        <v>41</v>
      </c>
      <c r="AN8" s="5">
        <v>244</v>
      </c>
      <c r="AO8" s="5">
        <v>27</v>
      </c>
      <c r="AP8" s="5">
        <v>1</v>
      </c>
      <c r="AQ8" s="5">
        <v>0</v>
      </c>
      <c r="AR8" s="5">
        <v>0</v>
      </c>
      <c r="AS8" s="5">
        <v>0</v>
      </c>
      <c r="AT8" s="5">
        <v>350</v>
      </c>
      <c r="AU8" s="5">
        <v>133</v>
      </c>
      <c r="AV8" s="5">
        <v>198</v>
      </c>
      <c r="AW8" s="1"/>
      <c r="AX8" s="1"/>
      <c r="AY8" t="s">
        <v>50</v>
      </c>
      <c r="AZ8" s="3">
        <v>2009</v>
      </c>
      <c r="BA8">
        <f t="shared" ref="BA8:BA43" si="0">SUM(C8:AV8)</f>
        <v>8935</v>
      </c>
      <c r="BD8">
        <v>2020</v>
      </c>
      <c r="BE8">
        <f t="shared" ref="BE8:BE9" si="1">LARGE($C$19:$AV$19, ROW(BE8)-6)</f>
        <v>3488</v>
      </c>
      <c r="BF8" t="s">
        <v>50</v>
      </c>
      <c r="BG8" t="str">
        <f t="shared" ref="BG8:BG10" ca="1" si="2">INDIRECT(ADDRESS(6,2+ MATCH(BE8,$C$19:$AV$19,0)))</f>
        <v>(28) Enfermedades isquémicas del corazón</v>
      </c>
      <c r="BH8">
        <v>2</v>
      </c>
      <c r="BI8">
        <f t="shared" ref="BI8:BI9" si="3">BE8/$BA$19</f>
        <v>0.18062244316710682</v>
      </c>
      <c r="BJ8">
        <f t="shared" ref="BJ8:BJ10" si="4">BE8/$BH$15</f>
        <v>0.14476633186685481</v>
      </c>
    </row>
    <row r="9" spans="1:62">
      <c r="A9" t="s">
        <v>50</v>
      </c>
      <c r="B9" s="3">
        <v>2010</v>
      </c>
      <c r="C9" s="5">
        <v>52</v>
      </c>
      <c r="D9" s="5">
        <v>87</v>
      </c>
      <c r="E9" s="5">
        <v>57</v>
      </c>
      <c r="F9" s="5">
        <v>0</v>
      </c>
      <c r="G9" s="5">
        <v>14</v>
      </c>
      <c r="H9" s="5">
        <v>165</v>
      </c>
      <c r="I9" s="5">
        <v>0</v>
      </c>
      <c r="J9" s="5">
        <v>16</v>
      </c>
      <c r="K9" s="5">
        <v>332</v>
      </c>
      <c r="L9" s="5">
        <v>280</v>
      </c>
      <c r="M9" s="5">
        <v>75</v>
      </c>
      <c r="N9" s="5">
        <v>280</v>
      </c>
      <c r="O9" s="5">
        <v>139</v>
      </c>
      <c r="P9" s="5">
        <v>105</v>
      </c>
      <c r="Q9" s="5">
        <v>8</v>
      </c>
      <c r="R9" s="5">
        <v>0</v>
      </c>
      <c r="S9" s="5">
        <v>8</v>
      </c>
      <c r="T9" s="5">
        <v>87</v>
      </c>
      <c r="U9" s="5">
        <v>57</v>
      </c>
      <c r="V9" s="5">
        <v>1287</v>
      </c>
      <c r="W9" s="5">
        <v>127</v>
      </c>
      <c r="X9" s="5">
        <v>92</v>
      </c>
      <c r="Y9" s="5">
        <v>183</v>
      </c>
      <c r="Z9" s="5">
        <v>0</v>
      </c>
      <c r="AA9" s="5">
        <v>0</v>
      </c>
      <c r="AB9" s="5">
        <v>5</v>
      </c>
      <c r="AC9" s="5">
        <v>275</v>
      </c>
      <c r="AD9" s="5">
        <v>1622</v>
      </c>
      <c r="AE9" s="5">
        <v>285</v>
      </c>
      <c r="AF9" s="5">
        <v>472</v>
      </c>
      <c r="AG9" s="5">
        <v>77</v>
      </c>
      <c r="AH9" s="5">
        <v>10</v>
      </c>
      <c r="AI9" s="5">
        <v>921</v>
      </c>
      <c r="AJ9" s="5">
        <v>2</v>
      </c>
      <c r="AK9" s="5">
        <v>1012</v>
      </c>
      <c r="AL9" s="5">
        <v>20</v>
      </c>
      <c r="AM9" s="5">
        <v>39</v>
      </c>
      <c r="AN9" s="5">
        <v>272</v>
      </c>
      <c r="AO9" s="5">
        <v>25</v>
      </c>
      <c r="AP9" s="5">
        <v>0</v>
      </c>
      <c r="AQ9" s="5">
        <v>0</v>
      </c>
      <c r="AR9" s="5">
        <v>0</v>
      </c>
      <c r="AS9" s="5">
        <v>0</v>
      </c>
      <c r="AT9" s="5">
        <v>286</v>
      </c>
      <c r="AU9" s="5">
        <v>133</v>
      </c>
      <c r="AV9" s="5">
        <v>227</v>
      </c>
      <c r="AW9" s="1"/>
      <c r="AX9" s="1"/>
      <c r="AY9" t="s">
        <v>50</v>
      </c>
      <c r="AZ9" s="3">
        <v>2010</v>
      </c>
      <c r="BA9">
        <f t="shared" si="0"/>
        <v>9134</v>
      </c>
      <c r="BD9">
        <v>2020</v>
      </c>
      <c r="BE9">
        <f t="shared" si="1"/>
        <v>2234</v>
      </c>
      <c r="BF9" t="s">
        <v>50</v>
      </c>
      <c r="BG9" t="str">
        <f t="shared" ca="1" si="2"/>
        <v>(20) Enfermedades endocrinas y metabólicas</v>
      </c>
      <c r="BH9">
        <v>3</v>
      </c>
      <c r="BI9">
        <f t="shared" si="3"/>
        <v>0.1156853606752628</v>
      </c>
      <c r="BJ9">
        <f t="shared" si="4"/>
        <v>9.2720179297750477E-2</v>
      </c>
    </row>
    <row r="10" spans="1:62">
      <c r="A10" t="s">
        <v>50</v>
      </c>
      <c r="B10" s="3">
        <v>2011</v>
      </c>
      <c r="C10" s="5">
        <v>74</v>
      </c>
      <c r="D10" s="5">
        <v>70</v>
      </c>
      <c r="E10" s="5">
        <v>80</v>
      </c>
      <c r="F10" s="5">
        <v>0</v>
      </c>
      <c r="G10" s="5">
        <v>5</v>
      </c>
      <c r="H10" s="5">
        <v>186</v>
      </c>
      <c r="I10" s="5">
        <v>0</v>
      </c>
      <c r="J10" s="5">
        <v>16</v>
      </c>
      <c r="K10" s="5">
        <v>350</v>
      </c>
      <c r="L10" s="5">
        <v>277</v>
      </c>
      <c r="M10" s="5">
        <v>88</v>
      </c>
      <c r="N10" s="5">
        <v>289</v>
      </c>
      <c r="O10" s="5">
        <v>152</v>
      </c>
      <c r="P10" s="5">
        <v>134</v>
      </c>
      <c r="Q10" s="5">
        <v>6</v>
      </c>
      <c r="R10" s="5">
        <v>0</v>
      </c>
      <c r="S10" s="5">
        <v>10</v>
      </c>
      <c r="T10" s="5">
        <v>64</v>
      </c>
      <c r="U10" s="5">
        <v>67</v>
      </c>
      <c r="V10" s="5">
        <v>1123</v>
      </c>
      <c r="W10" s="5">
        <v>116</v>
      </c>
      <c r="X10" s="5">
        <v>93</v>
      </c>
      <c r="Y10" s="5">
        <v>182</v>
      </c>
      <c r="Z10" s="5">
        <v>0</v>
      </c>
      <c r="AA10" s="5">
        <v>0</v>
      </c>
      <c r="AB10" s="5">
        <v>6</v>
      </c>
      <c r="AC10" s="5">
        <v>263</v>
      </c>
      <c r="AD10" s="5">
        <v>1681</v>
      </c>
      <c r="AE10" s="5">
        <v>317</v>
      </c>
      <c r="AF10" s="5">
        <v>453</v>
      </c>
      <c r="AG10" s="5">
        <v>85</v>
      </c>
      <c r="AH10" s="5">
        <v>10</v>
      </c>
      <c r="AI10" s="5">
        <v>924</v>
      </c>
      <c r="AJ10" s="5">
        <v>0</v>
      </c>
      <c r="AK10" s="5">
        <v>1043</v>
      </c>
      <c r="AL10" s="5">
        <v>27</v>
      </c>
      <c r="AM10" s="5">
        <v>41</v>
      </c>
      <c r="AN10" s="5">
        <v>291</v>
      </c>
      <c r="AO10" s="5">
        <v>32</v>
      </c>
      <c r="AP10" s="5">
        <v>0</v>
      </c>
      <c r="AQ10" s="5">
        <v>0</v>
      </c>
      <c r="AR10" s="5">
        <v>0</v>
      </c>
      <c r="AS10" s="5">
        <v>0</v>
      </c>
      <c r="AT10" s="5">
        <v>272</v>
      </c>
      <c r="AU10" s="5">
        <v>170</v>
      </c>
      <c r="AV10" s="5">
        <v>183</v>
      </c>
      <c r="AW10" s="1"/>
      <c r="AX10" s="1"/>
      <c r="AY10" t="s">
        <v>50</v>
      </c>
      <c r="AZ10" s="3">
        <v>2011</v>
      </c>
      <c r="BA10">
        <f t="shared" si="0"/>
        <v>9180</v>
      </c>
      <c r="BD10">
        <v>2020</v>
      </c>
      <c r="BE10">
        <f>LARGE($C$35:$AV$35,ROW(BE10)-9)</f>
        <v>2890</v>
      </c>
      <c r="BF10" t="s">
        <v>51</v>
      </c>
      <c r="BG10" t="str">
        <f ca="1">INDIRECT(ADDRESS(6,2+ MATCH(BE10,$C$35:$AV$35,0)))</f>
        <v>(06) Enfermedades víricas</v>
      </c>
      <c r="BH10">
        <v>1</v>
      </c>
      <c r="BI10">
        <f>BE10/$BA$35</f>
        <v>0.19541551152883901</v>
      </c>
      <c r="BJ10">
        <f>BE10/$BH$16</f>
        <v>0.18488900262299277</v>
      </c>
    </row>
    <row r="11" spans="1:62">
      <c r="A11" t="s">
        <v>50</v>
      </c>
      <c r="B11" s="3">
        <v>2012</v>
      </c>
      <c r="C11" s="5">
        <v>67</v>
      </c>
      <c r="D11" s="5">
        <v>61</v>
      </c>
      <c r="E11" s="5">
        <v>93</v>
      </c>
      <c r="F11" s="5">
        <v>1</v>
      </c>
      <c r="G11" s="5">
        <v>10</v>
      </c>
      <c r="H11" s="5">
        <v>150</v>
      </c>
      <c r="I11" s="5">
        <v>0</v>
      </c>
      <c r="J11" s="5">
        <v>23</v>
      </c>
      <c r="K11" s="5">
        <v>365</v>
      </c>
      <c r="L11" s="5">
        <v>254</v>
      </c>
      <c r="M11" s="5">
        <v>86</v>
      </c>
      <c r="N11" s="5">
        <v>277</v>
      </c>
      <c r="O11" s="5">
        <v>143</v>
      </c>
      <c r="P11" s="5">
        <v>144</v>
      </c>
      <c r="Q11" s="5">
        <v>21</v>
      </c>
      <c r="R11" s="5">
        <v>0</v>
      </c>
      <c r="S11" s="5">
        <v>8</v>
      </c>
      <c r="T11" s="5">
        <v>90</v>
      </c>
      <c r="U11" s="5">
        <v>59</v>
      </c>
      <c r="V11" s="5">
        <v>1229</v>
      </c>
      <c r="W11" s="5">
        <v>110</v>
      </c>
      <c r="X11" s="5">
        <v>114</v>
      </c>
      <c r="Y11" s="5">
        <v>196</v>
      </c>
      <c r="Z11" s="5">
        <v>1</v>
      </c>
      <c r="AA11" s="5">
        <v>2</v>
      </c>
      <c r="AB11" s="5">
        <v>14</v>
      </c>
      <c r="AC11" s="5">
        <v>226</v>
      </c>
      <c r="AD11" s="5">
        <v>1689</v>
      </c>
      <c r="AE11" s="5">
        <v>307</v>
      </c>
      <c r="AF11" s="5">
        <v>462</v>
      </c>
      <c r="AG11" s="5">
        <v>78</v>
      </c>
      <c r="AH11" s="5">
        <v>2</v>
      </c>
      <c r="AI11" s="5">
        <v>908</v>
      </c>
      <c r="AJ11" s="5">
        <v>1</v>
      </c>
      <c r="AK11" s="5">
        <v>1059</v>
      </c>
      <c r="AL11" s="5">
        <v>26</v>
      </c>
      <c r="AM11" s="5">
        <v>42</v>
      </c>
      <c r="AN11" s="5">
        <v>267</v>
      </c>
      <c r="AO11" s="5">
        <v>32</v>
      </c>
      <c r="AP11" s="5">
        <v>0</v>
      </c>
      <c r="AQ11" s="5">
        <v>0</v>
      </c>
      <c r="AR11" s="5">
        <v>0</v>
      </c>
      <c r="AS11" s="5">
        <v>0</v>
      </c>
      <c r="AT11" s="5">
        <v>277</v>
      </c>
      <c r="AU11" s="5">
        <v>105</v>
      </c>
      <c r="AV11" s="5">
        <v>190</v>
      </c>
      <c r="AW11" s="1"/>
      <c r="AX11" s="1"/>
      <c r="AY11" t="s">
        <v>50</v>
      </c>
      <c r="AZ11" s="3">
        <v>2012</v>
      </c>
      <c r="BA11">
        <f t="shared" si="0"/>
        <v>9189</v>
      </c>
      <c r="BD11">
        <v>2020</v>
      </c>
      <c r="BE11">
        <f t="shared" ref="BE11:BE12" si="5">LARGE($C$35:$AV$35,ROW(BE11)-9)</f>
        <v>2372</v>
      </c>
      <c r="BF11" t="s">
        <v>51</v>
      </c>
      <c r="BG11" t="str">
        <f t="shared" ref="BG11:BG12" ca="1" si="6">INDIRECT(ADDRESS(6,2+ MATCH(BE11,$C$35:$AV$35,0)))</f>
        <v>(28) Enfermedades isquémicas del corazón</v>
      </c>
      <c r="BH11">
        <v>2</v>
      </c>
      <c r="BI11">
        <f t="shared" ref="BI11:BI12" si="7">BE11/$BA$35</f>
        <v>0.16038947866657652</v>
      </c>
      <c r="BJ11">
        <f t="shared" ref="BJ11:BJ12" si="8">BE11/$BH$16</f>
        <v>0.1517497281044079</v>
      </c>
    </row>
    <row r="12" spans="1:62">
      <c r="A12" t="s">
        <v>50</v>
      </c>
      <c r="B12" s="3">
        <v>2013</v>
      </c>
      <c r="C12" s="5">
        <v>63</v>
      </c>
      <c r="D12" s="5">
        <v>74</v>
      </c>
      <c r="E12" s="5">
        <v>85</v>
      </c>
      <c r="F12" s="5">
        <v>1</v>
      </c>
      <c r="G12" s="5">
        <v>14</v>
      </c>
      <c r="H12" s="5">
        <v>148</v>
      </c>
      <c r="I12" s="5">
        <v>0</v>
      </c>
      <c r="J12" s="5">
        <v>30</v>
      </c>
      <c r="K12" s="5">
        <v>395</v>
      </c>
      <c r="L12" s="5">
        <v>246</v>
      </c>
      <c r="M12" s="5">
        <v>76</v>
      </c>
      <c r="N12" s="5">
        <v>308</v>
      </c>
      <c r="O12" s="5">
        <v>122</v>
      </c>
      <c r="P12" s="5">
        <v>131</v>
      </c>
      <c r="Q12" s="5">
        <v>12</v>
      </c>
      <c r="R12" s="5">
        <v>0</v>
      </c>
      <c r="S12" s="5">
        <v>4</v>
      </c>
      <c r="T12" s="5">
        <v>72</v>
      </c>
      <c r="U12" s="5">
        <v>57</v>
      </c>
      <c r="V12" s="5">
        <v>1277</v>
      </c>
      <c r="W12" s="5">
        <v>133</v>
      </c>
      <c r="X12" s="5">
        <v>104</v>
      </c>
      <c r="Y12" s="5">
        <v>212</v>
      </c>
      <c r="Z12" s="5">
        <v>0</v>
      </c>
      <c r="AA12" s="5">
        <v>1</v>
      </c>
      <c r="AB12" s="5">
        <v>2</v>
      </c>
      <c r="AC12" s="5">
        <v>291</v>
      </c>
      <c r="AD12" s="5">
        <v>1818</v>
      </c>
      <c r="AE12" s="5">
        <v>317</v>
      </c>
      <c r="AF12" s="5">
        <v>539</v>
      </c>
      <c r="AG12" s="5">
        <v>76</v>
      </c>
      <c r="AH12" s="5">
        <v>6</v>
      </c>
      <c r="AI12" s="5">
        <v>1000</v>
      </c>
      <c r="AJ12" s="5">
        <v>1</v>
      </c>
      <c r="AK12" s="5">
        <v>1112</v>
      </c>
      <c r="AL12" s="5">
        <v>26</v>
      </c>
      <c r="AM12" s="5">
        <v>46</v>
      </c>
      <c r="AN12" s="5">
        <v>312</v>
      </c>
      <c r="AO12" s="5">
        <v>25</v>
      </c>
      <c r="AP12" s="5">
        <v>0</v>
      </c>
      <c r="AQ12" s="5">
        <v>0</v>
      </c>
      <c r="AR12" s="5">
        <v>0</v>
      </c>
      <c r="AS12" s="5">
        <v>0</v>
      </c>
      <c r="AT12" s="5">
        <v>285</v>
      </c>
      <c r="AU12" s="5">
        <v>131</v>
      </c>
      <c r="AV12" s="5">
        <v>147</v>
      </c>
      <c r="AW12" s="1"/>
      <c r="AX12" s="1"/>
      <c r="AY12" t="s">
        <v>50</v>
      </c>
      <c r="AZ12" s="3">
        <v>2013</v>
      </c>
      <c r="BA12">
        <f t="shared" si="0"/>
        <v>9699</v>
      </c>
      <c r="BD12">
        <v>2020</v>
      </c>
      <c r="BE12">
        <f t="shared" si="5"/>
        <v>2175</v>
      </c>
      <c r="BF12" t="s">
        <v>51</v>
      </c>
      <c r="BG12" t="str">
        <f t="shared" ca="1" si="6"/>
        <v>(20) Enfermedades endocrinas y metabólicas</v>
      </c>
      <c r="BH12">
        <v>3</v>
      </c>
      <c r="BI12">
        <f t="shared" si="7"/>
        <v>0.14706876732706742</v>
      </c>
      <c r="BJ12">
        <f t="shared" si="8"/>
        <v>0.1391465677179963</v>
      </c>
    </row>
    <row r="13" spans="1:62">
      <c r="A13" t="s">
        <v>50</v>
      </c>
      <c r="B13" s="3">
        <v>2014</v>
      </c>
      <c r="C13" s="5">
        <v>78</v>
      </c>
      <c r="D13" s="5">
        <v>76</v>
      </c>
      <c r="E13" s="5">
        <v>87</v>
      </c>
      <c r="F13" s="5">
        <v>1</v>
      </c>
      <c r="G13" s="5">
        <v>12</v>
      </c>
      <c r="H13" s="5">
        <v>149</v>
      </c>
      <c r="I13" s="5">
        <v>0</v>
      </c>
      <c r="J13" s="5">
        <v>22</v>
      </c>
      <c r="K13" s="5">
        <v>407</v>
      </c>
      <c r="L13" s="5">
        <v>264</v>
      </c>
      <c r="M13" s="5">
        <v>92</v>
      </c>
      <c r="N13" s="5">
        <v>307</v>
      </c>
      <c r="O13" s="5">
        <v>100</v>
      </c>
      <c r="P13" s="5">
        <v>124</v>
      </c>
      <c r="Q13" s="5">
        <v>0</v>
      </c>
      <c r="R13" s="5">
        <v>0</v>
      </c>
      <c r="S13" s="5">
        <v>9</v>
      </c>
      <c r="T13" s="5">
        <v>78</v>
      </c>
      <c r="U13" s="5">
        <v>57</v>
      </c>
      <c r="V13" s="5">
        <v>1371</v>
      </c>
      <c r="W13" s="5">
        <v>88</v>
      </c>
      <c r="X13" s="5">
        <v>84</v>
      </c>
      <c r="Y13" s="5">
        <v>207</v>
      </c>
      <c r="Z13" s="5">
        <v>0</v>
      </c>
      <c r="AA13" s="5">
        <v>2</v>
      </c>
      <c r="AB13" s="5">
        <v>6</v>
      </c>
      <c r="AC13" s="5">
        <v>309</v>
      </c>
      <c r="AD13" s="5">
        <v>1800</v>
      </c>
      <c r="AE13" s="5">
        <v>330</v>
      </c>
      <c r="AF13" s="5">
        <v>509</v>
      </c>
      <c r="AG13" s="5">
        <v>96</v>
      </c>
      <c r="AH13" s="5">
        <v>5</v>
      </c>
      <c r="AI13" s="5">
        <v>1085</v>
      </c>
      <c r="AJ13" s="5">
        <v>6</v>
      </c>
      <c r="AK13" s="5">
        <v>1102</v>
      </c>
      <c r="AL13" s="5">
        <v>45</v>
      </c>
      <c r="AM13" s="5">
        <v>46</v>
      </c>
      <c r="AN13" s="5">
        <v>310</v>
      </c>
      <c r="AO13" s="5">
        <v>36</v>
      </c>
      <c r="AP13" s="5">
        <v>0</v>
      </c>
      <c r="AQ13" s="5">
        <v>0</v>
      </c>
      <c r="AR13" s="5">
        <v>0</v>
      </c>
      <c r="AS13" s="5">
        <v>0</v>
      </c>
      <c r="AT13" s="5">
        <v>253</v>
      </c>
      <c r="AU13" s="5">
        <v>136</v>
      </c>
      <c r="AV13" s="5">
        <v>144</v>
      </c>
      <c r="AW13" s="1"/>
      <c r="AX13" s="1"/>
      <c r="AY13" t="s">
        <v>50</v>
      </c>
      <c r="AZ13" s="3">
        <v>2014</v>
      </c>
      <c r="BA13">
        <f t="shared" si="0"/>
        <v>9833</v>
      </c>
    </row>
    <row r="14" spans="1:62">
      <c r="A14" t="s">
        <v>50</v>
      </c>
      <c r="B14" s="3">
        <v>2015</v>
      </c>
      <c r="C14" s="5">
        <v>78</v>
      </c>
      <c r="D14" s="5">
        <v>73</v>
      </c>
      <c r="E14" s="5">
        <v>58</v>
      </c>
      <c r="F14" s="5">
        <v>3</v>
      </c>
      <c r="G14" s="5">
        <v>12</v>
      </c>
      <c r="H14" s="5">
        <v>163</v>
      </c>
      <c r="I14" s="5">
        <v>1</v>
      </c>
      <c r="J14" s="5">
        <v>20</v>
      </c>
      <c r="K14" s="5">
        <v>412</v>
      </c>
      <c r="L14" s="5">
        <v>244</v>
      </c>
      <c r="M14" s="5">
        <v>104</v>
      </c>
      <c r="N14" s="5">
        <v>301</v>
      </c>
      <c r="O14" s="5">
        <v>119</v>
      </c>
      <c r="P14" s="5">
        <v>160</v>
      </c>
      <c r="Q14" s="5">
        <v>0</v>
      </c>
      <c r="R14" s="5">
        <v>0</v>
      </c>
      <c r="S14" s="5">
        <v>7</v>
      </c>
      <c r="T14" s="5">
        <v>104</v>
      </c>
      <c r="U14" s="5">
        <v>60</v>
      </c>
      <c r="V14" s="5">
        <v>1359</v>
      </c>
      <c r="W14" s="5">
        <v>83</v>
      </c>
      <c r="X14" s="5">
        <v>125</v>
      </c>
      <c r="Y14" s="5">
        <v>250</v>
      </c>
      <c r="Z14" s="5">
        <v>0</v>
      </c>
      <c r="AA14" s="5">
        <v>3</v>
      </c>
      <c r="AB14" s="5">
        <v>10</v>
      </c>
      <c r="AC14" s="5">
        <v>336</v>
      </c>
      <c r="AD14" s="5">
        <v>1790</v>
      </c>
      <c r="AE14" s="5">
        <v>351</v>
      </c>
      <c r="AF14" s="5">
        <v>519</v>
      </c>
      <c r="AG14" s="5">
        <v>95</v>
      </c>
      <c r="AH14" s="5">
        <v>4</v>
      </c>
      <c r="AI14" s="5">
        <v>968</v>
      </c>
      <c r="AJ14" s="5">
        <v>6</v>
      </c>
      <c r="AK14" s="5">
        <v>1143</v>
      </c>
      <c r="AL14" s="5">
        <v>53</v>
      </c>
      <c r="AM14" s="5">
        <v>36</v>
      </c>
      <c r="AN14" s="5">
        <v>331</v>
      </c>
      <c r="AO14" s="5">
        <v>21</v>
      </c>
      <c r="AP14" s="5">
        <v>0</v>
      </c>
      <c r="AQ14" s="5">
        <v>0</v>
      </c>
      <c r="AR14" s="5">
        <v>0</v>
      </c>
      <c r="AS14" s="5">
        <v>0</v>
      </c>
      <c r="AT14" s="5">
        <v>290</v>
      </c>
      <c r="AU14" s="5">
        <v>123</v>
      </c>
      <c r="AV14" s="5">
        <v>142</v>
      </c>
      <c r="AW14" s="1"/>
      <c r="AX14" s="1"/>
      <c r="AY14" t="s">
        <v>50</v>
      </c>
      <c r="AZ14" s="3">
        <v>2015</v>
      </c>
      <c r="BA14">
        <f t="shared" si="0"/>
        <v>9957</v>
      </c>
    </row>
    <row r="15" spans="1:62">
      <c r="A15" t="s">
        <v>50</v>
      </c>
      <c r="B15" s="3">
        <v>2016</v>
      </c>
      <c r="C15" s="5">
        <v>67</v>
      </c>
      <c r="D15" s="5">
        <v>50</v>
      </c>
      <c r="E15" s="5">
        <v>53</v>
      </c>
      <c r="F15" s="5">
        <v>0</v>
      </c>
      <c r="G15" s="5">
        <v>13</v>
      </c>
      <c r="H15" s="5">
        <v>135</v>
      </c>
      <c r="I15" s="5">
        <v>8</v>
      </c>
      <c r="J15" s="5">
        <v>20</v>
      </c>
      <c r="K15" s="5">
        <v>426</v>
      </c>
      <c r="L15" s="5">
        <v>283</v>
      </c>
      <c r="M15" s="5">
        <v>105</v>
      </c>
      <c r="N15" s="5">
        <v>338</v>
      </c>
      <c r="O15" s="5">
        <v>140</v>
      </c>
      <c r="P15" s="5">
        <v>137</v>
      </c>
      <c r="Q15" s="5">
        <v>0</v>
      </c>
      <c r="R15" s="5">
        <v>0</v>
      </c>
      <c r="S15" s="5">
        <v>9</v>
      </c>
      <c r="T15" s="5">
        <v>121</v>
      </c>
      <c r="U15" s="5">
        <v>64</v>
      </c>
      <c r="V15" s="5">
        <v>1476</v>
      </c>
      <c r="W15" s="5">
        <v>104</v>
      </c>
      <c r="X15" s="5">
        <v>137</v>
      </c>
      <c r="Y15" s="5">
        <v>220</v>
      </c>
      <c r="Z15" s="5">
        <v>0</v>
      </c>
      <c r="AA15" s="5">
        <v>1</v>
      </c>
      <c r="AB15" s="5">
        <v>8</v>
      </c>
      <c r="AC15" s="5">
        <v>333</v>
      </c>
      <c r="AD15" s="5">
        <v>1923</v>
      </c>
      <c r="AE15" s="5">
        <v>318</v>
      </c>
      <c r="AF15" s="5">
        <v>528</v>
      </c>
      <c r="AG15" s="5">
        <v>73</v>
      </c>
      <c r="AH15" s="5">
        <v>5</v>
      </c>
      <c r="AI15" s="5">
        <v>1057</v>
      </c>
      <c r="AJ15" s="5">
        <v>5</v>
      </c>
      <c r="AK15" s="5">
        <v>1302</v>
      </c>
      <c r="AL15" s="5">
        <v>47</v>
      </c>
      <c r="AM15" s="5">
        <v>45</v>
      </c>
      <c r="AN15" s="5">
        <v>343</v>
      </c>
      <c r="AO15" s="5">
        <v>28</v>
      </c>
      <c r="AP15" s="5">
        <v>0</v>
      </c>
      <c r="AQ15" s="5">
        <v>0</v>
      </c>
      <c r="AR15" s="5">
        <v>0</v>
      </c>
      <c r="AS15" s="5">
        <v>0</v>
      </c>
      <c r="AT15" s="5">
        <v>246</v>
      </c>
      <c r="AU15" s="5">
        <v>139</v>
      </c>
      <c r="AV15" s="5">
        <v>139</v>
      </c>
      <c r="AW15" s="1"/>
      <c r="AX15" s="1"/>
      <c r="AY15" t="s">
        <v>50</v>
      </c>
      <c r="AZ15" s="3">
        <v>2016</v>
      </c>
      <c r="BA15">
        <f t="shared" si="0"/>
        <v>10446</v>
      </c>
      <c r="BG15" s="7" t="s">
        <v>62</v>
      </c>
      <c r="BH15" s="6">
        <v>24094</v>
      </c>
      <c r="BI15">
        <f>SUM(BI7:BI9)</f>
        <v>0.53762104500025898</v>
      </c>
      <c r="BJ15">
        <f>SUM(BJ7:BJ9)</f>
        <v>0.43089565867020829</v>
      </c>
    </row>
    <row r="16" spans="1:62">
      <c r="A16" t="s">
        <v>50</v>
      </c>
      <c r="B16" s="3">
        <v>2017</v>
      </c>
      <c r="C16" s="5">
        <v>72</v>
      </c>
      <c r="D16" s="5">
        <v>61</v>
      </c>
      <c r="E16" s="5">
        <v>46</v>
      </c>
      <c r="F16" s="5">
        <v>0</v>
      </c>
      <c r="G16" s="5">
        <v>21</v>
      </c>
      <c r="H16" s="5">
        <v>137</v>
      </c>
      <c r="I16" s="5">
        <v>12</v>
      </c>
      <c r="J16" s="5">
        <v>29</v>
      </c>
      <c r="K16" s="5">
        <v>478</v>
      </c>
      <c r="L16" s="5">
        <v>259</v>
      </c>
      <c r="M16" s="5">
        <v>92</v>
      </c>
      <c r="N16" s="5">
        <v>381</v>
      </c>
      <c r="O16" s="5">
        <v>127</v>
      </c>
      <c r="P16" s="5">
        <v>133</v>
      </c>
      <c r="Q16" s="5">
        <v>0</v>
      </c>
      <c r="R16" s="5">
        <v>0</v>
      </c>
      <c r="S16" s="5">
        <v>9</v>
      </c>
      <c r="T16" s="5">
        <v>108</v>
      </c>
      <c r="U16" s="5">
        <v>83</v>
      </c>
      <c r="V16" s="5">
        <v>1469</v>
      </c>
      <c r="W16" s="5">
        <v>106</v>
      </c>
      <c r="X16" s="5">
        <v>164</v>
      </c>
      <c r="Y16" s="5">
        <v>243</v>
      </c>
      <c r="Z16" s="5">
        <v>0</v>
      </c>
      <c r="AA16" s="5">
        <v>1</v>
      </c>
      <c r="AB16" s="5">
        <v>9</v>
      </c>
      <c r="AC16" s="5">
        <v>331</v>
      </c>
      <c r="AD16" s="5">
        <v>1956</v>
      </c>
      <c r="AE16" s="5">
        <v>359</v>
      </c>
      <c r="AF16" s="5">
        <v>508</v>
      </c>
      <c r="AG16" s="5">
        <v>71</v>
      </c>
      <c r="AH16" s="5">
        <v>6</v>
      </c>
      <c r="AI16" s="5">
        <v>1048</v>
      </c>
      <c r="AJ16" s="5">
        <v>4</v>
      </c>
      <c r="AK16" s="5">
        <v>1306</v>
      </c>
      <c r="AL16" s="5">
        <v>44</v>
      </c>
      <c r="AM16" s="5">
        <v>38</v>
      </c>
      <c r="AN16" s="5">
        <v>334</v>
      </c>
      <c r="AO16" s="5">
        <v>56</v>
      </c>
      <c r="AP16" s="5">
        <v>0</v>
      </c>
      <c r="AQ16" s="5">
        <v>0</v>
      </c>
      <c r="AR16" s="5">
        <v>0</v>
      </c>
      <c r="AS16" s="5">
        <v>0</v>
      </c>
      <c r="AT16" s="5">
        <v>285</v>
      </c>
      <c r="AU16" s="5">
        <v>123</v>
      </c>
      <c r="AV16" s="5">
        <v>121</v>
      </c>
      <c r="AW16" s="1"/>
      <c r="AX16" s="1"/>
      <c r="AY16" t="s">
        <v>50</v>
      </c>
      <c r="AZ16" s="3">
        <v>2017</v>
      </c>
      <c r="BA16">
        <f t="shared" si="0"/>
        <v>10630</v>
      </c>
      <c r="BG16" s="7" t="s">
        <v>63</v>
      </c>
      <c r="BH16" s="6">
        <v>15631</v>
      </c>
      <c r="BI16">
        <f>SUM(BI10:BI12)</f>
        <v>0.50287375752248298</v>
      </c>
      <c r="BJ16">
        <f>SUM(BJ10:BJ12)</f>
        <v>0.47578529844539696</v>
      </c>
    </row>
    <row r="17" spans="1:53">
      <c r="A17" t="s">
        <v>50</v>
      </c>
      <c r="B17" s="3">
        <v>2018</v>
      </c>
      <c r="C17" s="5">
        <v>62</v>
      </c>
      <c r="D17" s="5">
        <v>63</v>
      </c>
      <c r="E17" s="5">
        <v>113</v>
      </c>
      <c r="F17" s="5">
        <v>1</v>
      </c>
      <c r="G17" s="5">
        <v>16</v>
      </c>
      <c r="H17" s="5">
        <v>168</v>
      </c>
      <c r="I17" s="5">
        <v>12</v>
      </c>
      <c r="J17" s="5">
        <v>30</v>
      </c>
      <c r="K17" s="5">
        <v>437</v>
      </c>
      <c r="L17" s="5">
        <v>286</v>
      </c>
      <c r="M17" s="5">
        <v>90</v>
      </c>
      <c r="N17" s="5">
        <v>354</v>
      </c>
      <c r="O17" s="5">
        <v>117</v>
      </c>
      <c r="P17" s="5">
        <v>119</v>
      </c>
      <c r="Q17" s="5">
        <v>0</v>
      </c>
      <c r="R17" s="5">
        <v>1</v>
      </c>
      <c r="S17" s="5">
        <v>11</v>
      </c>
      <c r="T17" s="5">
        <v>107</v>
      </c>
      <c r="U17" s="5">
        <v>95</v>
      </c>
      <c r="V17" s="5">
        <v>1246</v>
      </c>
      <c r="W17" s="5">
        <v>103</v>
      </c>
      <c r="X17" s="5">
        <v>181</v>
      </c>
      <c r="Y17" s="5">
        <v>273</v>
      </c>
      <c r="Z17" s="5">
        <v>0</v>
      </c>
      <c r="AA17" s="5">
        <v>1</v>
      </c>
      <c r="AB17" s="5">
        <v>5</v>
      </c>
      <c r="AC17" s="5">
        <v>321</v>
      </c>
      <c r="AD17" s="5">
        <v>2017</v>
      </c>
      <c r="AE17" s="5">
        <v>567</v>
      </c>
      <c r="AF17" s="5">
        <v>535</v>
      </c>
      <c r="AG17" s="5">
        <v>73</v>
      </c>
      <c r="AH17" s="5">
        <v>5</v>
      </c>
      <c r="AI17" s="5">
        <v>1294</v>
      </c>
      <c r="AJ17" s="5">
        <v>2</v>
      </c>
      <c r="AK17" s="5">
        <v>1335</v>
      </c>
      <c r="AL17" s="5">
        <v>39</v>
      </c>
      <c r="AM17" s="5">
        <v>47</v>
      </c>
      <c r="AN17" s="5">
        <v>375</v>
      </c>
      <c r="AO17" s="5">
        <v>36</v>
      </c>
      <c r="AP17" s="5">
        <v>0</v>
      </c>
      <c r="AQ17" s="5">
        <v>0</v>
      </c>
      <c r="AR17" s="5">
        <v>0</v>
      </c>
      <c r="AS17" s="5">
        <v>0</v>
      </c>
      <c r="AT17" s="5">
        <v>238</v>
      </c>
      <c r="AU17" s="5">
        <v>113</v>
      </c>
      <c r="AV17" s="5">
        <v>91</v>
      </c>
      <c r="AW17" s="1"/>
      <c r="AX17" s="1"/>
      <c r="AY17" t="s">
        <v>50</v>
      </c>
      <c r="AZ17" s="3">
        <v>2018</v>
      </c>
      <c r="BA17">
        <f t="shared" si="0"/>
        <v>10979</v>
      </c>
    </row>
    <row r="18" spans="1:53">
      <c r="A18" t="s">
        <v>50</v>
      </c>
      <c r="B18" s="3">
        <v>2019</v>
      </c>
      <c r="C18" s="5">
        <v>56</v>
      </c>
      <c r="D18" s="5">
        <v>62</v>
      </c>
      <c r="E18" s="5">
        <v>120</v>
      </c>
      <c r="F18" s="5">
        <v>2</v>
      </c>
      <c r="G18" s="5">
        <v>12</v>
      </c>
      <c r="H18" s="5">
        <v>171</v>
      </c>
      <c r="I18" s="5">
        <v>10</v>
      </c>
      <c r="J18" s="5">
        <v>24</v>
      </c>
      <c r="K18" s="5">
        <v>492</v>
      </c>
      <c r="L18" s="5">
        <v>270</v>
      </c>
      <c r="M18" s="5">
        <v>113</v>
      </c>
      <c r="N18" s="5">
        <v>331</v>
      </c>
      <c r="O18" s="5">
        <v>135</v>
      </c>
      <c r="P18" s="5">
        <v>130</v>
      </c>
      <c r="Q18" s="5">
        <v>0</v>
      </c>
      <c r="R18" s="5">
        <v>2</v>
      </c>
      <c r="S18" s="5">
        <v>12</v>
      </c>
      <c r="T18" s="5">
        <v>135</v>
      </c>
      <c r="U18" s="5">
        <v>87</v>
      </c>
      <c r="V18" s="5">
        <v>1392</v>
      </c>
      <c r="W18" s="5">
        <v>91</v>
      </c>
      <c r="X18" s="5">
        <v>183</v>
      </c>
      <c r="Y18" s="5">
        <v>243</v>
      </c>
      <c r="Z18" s="5">
        <v>0</v>
      </c>
      <c r="AA18" s="5">
        <v>1</v>
      </c>
      <c r="AB18" s="5">
        <v>6</v>
      </c>
      <c r="AC18" s="5">
        <v>347</v>
      </c>
      <c r="AD18" s="5">
        <v>2220</v>
      </c>
      <c r="AE18" s="5">
        <v>510</v>
      </c>
      <c r="AF18" s="5">
        <v>565</v>
      </c>
      <c r="AG18" s="5">
        <v>83</v>
      </c>
      <c r="AH18" s="5">
        <v>7</v>
      </c>
      <c r="AI18" s="5">
        <v>1404</v>
      </c>
      <c r="AJ18" s="5">
        <v>6</v>
      </c>
      <c r="AK18" s="5">
        <v>1376</v>
      </c>
      <c r="AL18" s="5">
        <v>49</v>
      </c>
      <c r="AM18" s="5">
        <v>43</v>
      </c>
      <c r="AN18" s="5">
        <v>387</v>
      </c>
      <c r="AO18" s="5">
        <v>36</v>
      </c>
      <c r="AP18" s="5">
        <v>0</v>
      </c>
      <c r="AQ18" s="5">
        <v>0</v>
      </c>
      <c r="AR18" s="5">
        <v>0</v>
      </c>
      <c r="AS18" s="5">
        <v>0</v>
      </c>
      <c r="AT18" s="5">
        <v>250</v>
      </c>
      <c r="AU18" s="5">
        <v>147</v>
      </c>
      <c r="AV18" s="5">
        <v>157</v>
      </c>
      <c r="AW18" s="1"/>
      <c r="AX18" s="1"/>
      <c r="AY18" t="s">
        <v>50</v>
      </c>
      <c r="AZ18" s="3">
        <v>2019</v>
      </c>
      <c r="BA18">
        <f t="shared" si="0"/>
        <v>11667</v>
      </c>
    </row>
    <row r="19" spans="1:53">
      <c r="A19" t="s">
        <v>50</v>
      </c>
      <c r="B19" s="3">
        <v>2020</v>
      </c>
      <c r="C19" s="5">
        <v>56</v>
      </c>
      <c r="D19" s="5">
        <v>64</v>
      </c>
      <c r="E19" s="5">
        <v>122</v>
      </c>
      <c r="F19" s="5">
        <v>0</v>
      </c>
      <c r="G19" s="5">
        <v>12</v>
      </c>
      <c r="H19" s="5">
        <v>4660</v>
      </c>
      <c r="I19" s="5">
        <v>19</v>
      </c>
      <c r="J19" s="5">
        <v>37</v>
      </c>
      <c r="K19" s="5">
        <v>474</v>
      </c>
      <c r="L19" s="5">
        <v>237</v>
      </c>
      <c r="M19" s="5">
        <v>100</v>
      </c>
      <c r="N19" s="5">
        <v>423</v>
      </c>
      <c r="O19" s="5">
        <v>124</v>
      </c>
      <c r="P19" s="5">
        <v>148</v>
      </c>
      <c r="Q19" s="5">
        <v>0</v>
      </c>
      <c r="R19" s="5">
        <v>4</v>
      </c>
      <c r="S19" s="5">
        <v>8</v>
      </c>
      <c r="T19" s="5">
        <v>117</v>
      </c>
      <c r="U19" s="5">
        <v>60</v>
      </c>
      <c r="V19" s="5">
        <v>2234</v>
      </c>
      <c r="W19" s="5">
        <v>73</v>
      </c>
      <c r="X19" s="5">
        <v>213</v>
      </c>
      <c r="Y19" s="5">
        <v>304</v>
      </c>
      <c r="Z19" s="5">
        <v>0</v>
      </c>
      <c r="AA19" s="5">
        <v>3</v>
      </c>
      <c r="AB19" s="5">
        <v>4</v>
      </c>
      <c r="AC19" s="5">
        <v>473</v>
      </c>
      <c r="AD19" s="5">
        <v>3488</v>
      </c>
      <c r="AE19" s="5">
        <v>593</v>
      </c>
      <c r="AF19" s="5">
        <v>575</v>
      </c>
      <c r="AG19" s="5">
        <v>109</v>
      </c>
      <c r="AH19" s="5">
        <v>10</v>
      </c>
      <c r="AI19" s="5">
        <v>2148</v>
      </c>
      <c r="AJ19" s="5">
        <v>1</v>
      </c>
      <c r="AK19" s="5">
        <v>1435</v>
      </c>
      <c r="AL19" s="5">
        <v>41</v>
      </c>
      <c r="AM19" s="5">
        <v>47</v>
      </c>
      <c r="AN19" s="5">
        <v>343</v>
      </c>
      <c r="AO19" s="5">
        <v>38</v>
      </c>
      <c r="AP19" s="5">
        <v>0</v>
      </c>
      <c r="AQ19" s="5">
        <v>0</v>
      </c>
      <c r="AR19" s="5">
        <v>0</v>
      </c>
      <c r="AS19" s="5">
        <v>0</v>
      </c>
      <c r="AT19" s="5">
        <v>245</v>
      </c>
      <c r="AU19" s="5">
        <v>119</v>
      </c>
      <c r="AV19" s="5">
        <v>150</v>
      </c>
      <c r="AW19" s="1"/>
      <c r="AX19" s="1"/>
      <c r="AY19" t="s">
        <v>50</v>
      </c>
      <c r="AZ19" s="3">
        <v>2020</v>
      </c>
      <c r="BA19">
        <f t="shared" si="0"/>
        <v>19311</v>
      </c>
    </row>
    <row r="20" spans="1:53">
      <c r="A20" t="s">
        <v>50</v>
      </c>
      <c r="B20" s="3">
        <v>2021</v>
      </c>
      <c r="C20" s="5">
        <v>58</v>
      </c>
      <c r="D20" s="5">
        <v>76</v>
      </c>
      <c r="E20" s="5">
        <v>141</v>
      </c>
      <c r="F20" s="5">
        <v>1</v>
      </c>
      <c r="G20" s="5">
        <v>10</v>
      </c>
      <c r="H20" s="5">
        <v>2362</v>
      </c>
      <c r="I20" s="5">
        <v>22</v>
      </c>
      <c r="J20" s="5">
        <v>30</v>
      </c>
      <c r="K20" s="5">
        <v>490</v>
      </c>
      <c r="L20" s="5">
        <v>222</v>
      </c>
      <c r="M20" s="5">
        <v>101</v>
      </c>
      <c r="N20" s="5">
        <v>376</v>
      </c>
      <c r="O20" s="5">
        <v>102</v>
      </c>
      <c r="P20" s="5">
        <v>134</v>
      </c>
      <c r="Q20" s="5">
        <v>0</v>
      </c>
      <c r="R20" s="5">
        <v>8</v>
      </c>
      <c r="S20" s="5">
        <v>9</v>
      </c>
      <c r="T20" s="5">
        <v>143</v>
      </c>
      <c r="U20" s="5">
        <v>65</v>
      </c>
      <c r="V20" s="5">
        <v>1585</v>
      </c>
      <c r="W20" s="5">
        <v>84</v>
      </c>
      <c r="X20" s="5">
        <v>222</v>
      </c>
      <c r="Y20" s="5">
        <v>257</v>
      </c>
      <c r="Z20" s="5">
        <v>0</v>
      </c>
      <c r="AA20" s="5">
        <v>0</v>
      </c>
      <c r="AB20" s="5">
        <v>5</v>
      </c>
      <c r="AC20" s="5">
        <v>413</v>
      </c>
      <c r="AD20" s="5">
        <v>3003</v>
      </c>
      <c r="AE20" s="5">
        <v>364</v>
      </c>
      <c r="AF20" s="5">
        <v>575</v>
      </c>
      <c r="AG20" s="5">
        <v>98</v>
      </c>
      <c r="AH20" s="5">
        <v>4</v>
      </c>
      <c r="AI20" s="5">
        <v>1393</v>
      </c>
      <c r="AJ20" s="5">
        <v>5</v>
      </c>
      <c r="AK20" s="5">
        <v>1423</v>
      </c>
      <c r="AL20" s="5">
        <v>51</v>
      </c>
      <c r="AM20" s="5">
        <v>34</v>
      </c>
      <c r="AN20" s="5">
        <v>331</v>
      </c>
      <c r="AO20" s="5">
        <v>22</v>
      </c>
      <c r="AP20" s="5">
        <v>0</v>
      </c>
      <c r="AQ20" s="5">
        <v>0</v>
      </c>
      <c r="AR20" s="5">
        <v>0</v>
      </c>
      <c r="AS20" s="5">
        <v>0</v>
      </c>
      <c r="AT20" s="5">
        <v>235</v>
      </c>
      <c r="AU20" s="5">
        <v>127</v>
      </c>
      <c r="AV20" s="5">
        <v>137</v>
      </c>
      <c r="AW20" s="1"/>
      <c r="AX20" s="1"/>
      <c r="AY20" t="s">
        <v>50</v>
      </c>
      <c r="AZ20" s="3">
        <v>2021</v>
      </c>
      <c r="BA20">
        <f t="shared" si="0"/>
        <v>14718</v>
      </c>
    </row>
    <row r="21" spans="1:53">
      <c r="A21" t="s">
        <v>50</v>
      </c>
      <c r="B21" s="3">
        <v>2022</v>
      </c>
      <c r="C21" s="5">
        <v>44</v>
      </c>
      <c r="D21" s="5">
        <v>85</v>
      </c>
      <c r="E21" s="5">
        <v>152</v>
      </c>
      <c r="F21" s="5">
        <v>1</v>
      </c>
      <c r="G21" s="5">
        <v>12</v>
      </c>
      <c r="H21" s="5">
        <v>1102</v>
      </c>
      <c r="I21" s="5">
        <v>32</v>
      </c>
      <c r="J21" s="5">
        <v>28</v>
      </c>
      <c r="K21" s="5">
        <v>435</v>
      </c>
      <c r="L21" s="5">
        <v>217</v>
      </c>
      <c r="M21" s="5">
        <v>113</v>
      </c>
      <c r="N21" s="5">
        <v>356</v>
      </c>
      <c r="O21" s="5">
        <v>129</v>
      </c>
      <c r="P21" s="5">
        <v>143</v>
      </c>
      <c r="Q21" s="5">
        <v>0</v>
      </c>
      <c r="R21" s="5">
        <v>7</v>
      </c>
      <c r="S21" s="5">
        <v>8</v>
      </c>
      <c r="T21" s="5">
        <v>173</v>
      </c>
      <c r="U21" s="5">
        <v>86</v>
      </c>
      <c r="V21" s="5">
        <v>1701</v>
      </c>
      <c r="W21" s="5">
        <v>76</v>
      </c>
      <c r="X21" s="5">
        <v>198</v>
      </c>
      <c r="Y21" s="5">
        <v>298</v>
      </c>
      <c r="Z21" s="5">
        <v>0</v>
      </c>
      <c r="AA21" s="5">
        <v>1</v>
      </c>
      <c r="AB21" s="5">
        <v>7</v>
      </c>
      <c r="AC21" s="5">
        <v>426</v>
      </c>
      <c r="AD21" s="5">
        <v>3081</v>
      </c>
      <c r="AE21" s="5">
        <v>303</v>
      </c>
      <c r="AF21" s="5">
        <v>555</v>
      </c>
      <c r="AG21" s="5">
        <v>106</v>
      </c>
      <c r="AH21" s="5">
        <v>3</v>
      </c>
      <c r="AI21" s="5">
        <v>1325</v>
      </c>
      <c r="AJ21" s="5">
        <v>7</v>
      </c>
      <c r="AK21" s="5">
        <v>1440</v>
      </c>
      <c r="AL21" s="5">
        <v>52</v>
      </c>
      <c r="AM21" s="5">
        <v>59</v>
      </c>
      <c r="AN21" s="5">
        <v>423</v>
      </c>
      <c r="AO21" s="5">
        <v>42</v>
      </c>
      <c r="AP21" s="5">
        <v>0</v>
      </c>
      <c r="AQ21" s="5">
        <v>0</v>
      </c>
      <c r="AR21" s="5">
        <v>0</v>
      </c>
      <c r="AS21" s="5">
        <v>0</v>
      </c>
      <c r="AT21" s="5">
        <v>223</v>
      </c>
      <c r="AU21" s="5">
        <v>125</v>
      </c>
      <c r="AV21" s="5">
        <v>143</v>
      </c>
      <c r="AW21" s="1"/>
      <c r="AX21" s="1"/>
      <c r="AY21" t="s">
        <v>50</v>
      </c>
      <c r="AZ21" s="3">
        <v>2022</v>
      </c>
      <c r="BA21">
        <f t="shared" si="0"/>
        <v>13717</v>
      </c>
    </row>
    <row r="22" spans="1:53">
      <c r="A22" t="s">
        <v>50</v>
      </c>
      <c r="B22" s="3">
        <v>2023</v>
      </c>
      <c r="C22" s="5">
        <v>63</v>
      </c>
      <c r="D22" s="5">
        <v>81</v>
      </c>
      <c r="E22" s="5">
        <v>117</v>
      </c>
      <c r="F22" s="5">
        <v>1</v>
      </c>
      <c r="G22" s="5">
        <v>16</v>
      </c>
      <c r="H22" s="5">
        <v>243</v>
      </c>
      <c r="I22" s="5">
        <v>45</v>
      </c>
      <c r="J22" s="5">
        <v>22</v>
      </c>
      <c r="K22" s="5">
        <v>506</v>
      </c>
      <c r="L22" s="5">
        <v>198</v>
      </c>
      <c r="M22" s="5">
        <v>107</v>
      </c>
      <c r="N22" s="5">
        <v>390</v>
      </c>
      <c r="O22" s="5">
        <v>121</v>
      </c>
      <c r="P22" s="5">
        <v>156</v>
      </c>
      <c r="Q22" s="5">
        <v>0</v>
      </c>
      <c r="R22" s="5">
        <v>4</v>
      </c>
      <c r="S22" s="5">
        <v>13</v>
      </c>
      <c r="T22" s="5">
        <v>145</v>
      </c>
      <c r="U22" s="5">
        <v>81</v>
      </c>
      <c r="V22" s="5">
        <v>1554</v>
      </c>
      <c r="W22" s="5">
        <v>61</v>
      </c>
      <c r="X22" s="5">
        <v>182</v>
      </c>
      <c r="Y22" s="5">
        <v>305</v>
      </c>
      <c r="Z22" s="5">
        <v>0</v>
      </c>
      <c r="AA22" s="5">
        <v>1</v>
      </c>
      <c r="AB22" s="5">
        <v>3</v>
      </c>
      <c r="AC22" s="5">
        <v>364</v>
      </c>
      <c r="AD22" s="5">
        <v>2705</v>
      </c>
      <c r="AE22" s="5">
        <v>326</v>
      </c>
      <c r="AF22" s="5">
        <v>567</v>
      </c>
      <c r="AG22" s="5">
        <v>92</v>
      </c>
      <c r="AH22" s="5">
        <v>5</v>
      </c>
      <c r="AI22" s="5">
        <v>1374</v>
      </c>
      <c r="AJ22" s="5">
        <v>3</v>
      </c>
      <c r="AK22" s="5">
        <v>1366</v>
      </c>
      <c r="AL22" s="5">
        <v>84</v>
      </c>
      <c r="AM22" s="5">
        <v>54</v>
      </c>
      <c r="AN22" s="5">
        <v>416</v>
      </c>
      <c r="AO22" s="5">
        <v>35</v>
      </c>
      <c r="AP22" s="5">
        <v>0</v>
      </c>
      <c r="AQ22" s="5">
        <v>0</v>
      </c>
      <c r="AR22" s="5">
        <v>0</v>
      </c>
      <c r="AS22" s="5">
        <v>0</v>
      </c>
      <c r="AT22" s="5">
        <v>212</v>
      </c>
      <c r="AU22" s="5">
        <v>118</v>
      </c>
      <c r="AV22" s="5">
        <v>111</v>
      </c>
      <c r="AW22" s="1"/>
      <c r="AX22" s="1"/>
      <c r="AY22" t="s">
        <v>50</v>
      </c>
      <c r="AZ22" s="3">
        <v>2023</v>
      </c>
      <c r="BA22">
        <f t="shared" si="0"/>
        <v>12247</v>
      </c>
    </row>
    <row r="23" spans="1:53">
      <c r="A23" t="s">
        <v>51</v>
      </c>
      <c r="B23" s="3">
        <v>2008</v>
      </c>
      <c r="C23" s="5">
        <v>66</v>
      </c>
      <c r="D23" s="5">
        <v>34</v>
      </c>
      <c r="E23" s="5">
        <v>69</v>
      </c>
      <c r="F23" s="5">
        <v>2</v>
      </c>
      <c r="G23" s="5">
        <v>12</v>
      </c>
      <c r="H23" s="5">
        <v>71</v>
      </c>
      <c r="I23" s="5">
        <v>0</v>
      </c>
      <c r="J23" s="5">
        <v>9</v>
      </c>
      <c r="K23" s="5">
        <v>342</v>
      </c>
      <c r="L23" s="5">
        <v>122</v>
      </c>
      <c r="M23" s="5">
        <v>272</v>
      </c>
      <c r="N23" s="5">
        <v>242</v>
      </c>
      <c r="O23" s="5">
        <v>84</v>
      </c>
      <c r="P23" s="5">
        <v>94</v>
      </c>
      <c r="Q23" s="5">
        <v>5</v>
      </c>
      <c r="R23" s="5">
        <v>0</v>
      </c>
      <c r="S23" s="5">
        <v>14</v>
      </c>
      <c r="T23" s="5">
        <v>57</v>
      </c>
      <c r="U23" s="5">
        <v>62</v>
      </c>
      <c r="V23" s="5">
        <v>1369</v>
      </c>
      <c r="W23" s="5">
        <v>87</v>
      </c>
      <c r="X23" s="5">
        <v>21</v>
      </c>
      <c r="Y23" s="5">
        <v>175</v>
      </c>
      <c r="Z23" s="5">
        <v>0</v>
      </c>
      <c r="AA23" s="5">
        <v>1</v>
      </c>
      <c r="AB23" s="5">
        <v>16</v>
      </c>
      <c r="AC23" s="5">
        <v>293</v>
      </c>
      <c r="AD23" s="5">
        <v>1097</v>
      </c>
      <c r="AE23" s="5">
        <v>283</v>
      </c>
      <c r="AF23" s="5">
        <v>454</v>
      </c>
      <c r="AG23" s="5">
        <v>77</v>
      </c>
      <c r="AH23" s="5">
        <v>2</v>
      </c>
      <c r="AI23" s="5">
        <v>664</v>
      </c>
      <c r="AJ23" s="5">
        <v>2</v>
      </c>
      <c r="AK23" s="5">
        <v>558</v>
      </c>
      <c r="AL23" s="5">
        <v>26</v>
      </c>
      <c r="AM23" s="5">
        <v>88</v>
      </c>
      <c r="AN23" s="5">
        <v>163</v>
      </c>
      <c r="AO23" s="5">
        <v>0</v>
      </c>
      <c r="AP23" s="5">
        <v>1</v>
      </c>
      <c r="AQ23" s="5">
        <v>6</v>
      </c>
      <c r="AR23" s="5">
        <v>31</v>
      </c>
      <c r="AS23" s="5">
        <v>9</v>
      </c>
      <c r="AT23" s="5">
        <v>252</v>
      </c>
      <c r="AU23" s="5">
        <v>125</v>
      </c>
      <c r="AV23" s="5">
        <v>118</v>
      </c>
      <c r="AW23" s="1"/>
      <c r="AX23" s="1"/>
      <c r="AY23" t="s">
        <v>51</v>
      </c>
      <c r="AZ23" s="3">
        <v>2008</v>
      </c>
      <c r="BA23">
        <f t="shared" si="0"/>
        <v>7475</v>
      </c>
    </row>
    <row r="24" spans="1:53">
      <c r="A24" t="s">
        <v>51</v>
      </c>
      <c r="B24" s="3">
        <v>2009</v>
      </c>
      <c r="C24" s="5">
        <v>59</v>
      </c>
      <c r="D24" s="5">
        <v>28</v>
      </c>
      <c r="E24" s="5">
        <v>45</v>
      </c>
      <c r="F24" s="5">
        <v>1</v>
      </c>
      <c r="G24" s="5">
        <v>7</v>
      </c>
      <c r="H24" s="5">
        <v>61</v>
      </c>
      <c r="I24" s="5">
        <v>0</v>
      </c>
      <c r="J24" s="5">
        <v>8</v>
      </c>
      <c r="K24" s="5">
        <v>291</v>
      </c>
      <c r="L24" s="5">
        <v>119</v>
      </c>
      <c r="M24" s="5">
        <v>269</v>
      </c>
      <c r="N24" s="5">
        <v>216</v>
      </c>
      <c r="O24" s="5">
        <v>117</v>
      </c>
      <c r="P24" s="5">
        <v>91</v>
      </c>
      <c r="Q24" s="5">
        <v>12</v>
      </c>
      <c r="R24" s="5">
        <v>0</v>
      </c>
      <c r="S24" s="5">
        <v>11</v>
      </c>
      <c r="T24" s="5">
        <v>51</v>
      </c>
      <c r="U24" s="5">
        <v>61</v>
      </c>
      <c r="V24" s="5">
        <v>1382</v>
      </c>
      <c r="W24" s="5">
        <v>86</v>
      </c>
      <c r="X24" s="5">
        <v>16</v>
      </c>
      <c r="Y24" s="5">
        <v>147</v>
      </c>
      <c r="Z24" s="5">
        <v>0</v>
      </c>
      <c r="AA24" s="5">
        <v>3</v>
      </c>
      <c r="AB24" s="5">
        <v>22</v>
      </c>
      <c r="AC24" s="5">
        <v>305</v>
      </c>
      <c r="AD24" s="5">
        <v>1120</v>
      </c>
      <c r="AE24" s="5">
        <v>261</v>
      </c>
      <c r="AF24" s="5">
        <v>469</v>
      </c>
      <c r="AG24" s="5">
        <v>101</v>
      </c>
      <c r="AH24" s="5">
        <v>6</v>
      </c>
      <c r="AI24" s="5">
        <v>671</v>
      </c>
      <c r="AJ24" s="5">
        <v>1</v>
      </c>
      <c r="AK24" s="5">
        <v>607</v>
      </c>
      <c r="AL24" s="5">
        <v>38</v>
      </c>
      <c r="AM24" s="5">
        <v>87</v>
      </c>
      <c r="AN24" s="5">
        <v>226</v>
      </c>
      <c r="AO24" s="5">
        <v>0</v>
      </c>
      <c r="AP24" s="5">
        <v>1</v>
      </c>
      <c r="AQ24" s="5">
        <v>9</v>
      </c>
      <c r="AR24" s="5">
        <v>39</v>
      </c>
      <c r="AS24" s="5">
        <v>19</v>
      </c>
      <c r="AT24" s="5">
        <v>263</v>
      </c>
      <c r="AU24" s="5">
        <v>115</v>
      </c>
      <c r="AV24" s="5">
        <v>175</v>
      </c>
      <c r="AW24" s="1"/>
      <c r="AX24" s="1"/>
      <c r="AY24" t="s">
        <v>51</v>
      </c>
      <c r="AZ24" s="3">
        <v>2009</v>
      </c>
      <c r="BA24">
        <f t="shared" si="0"/>
        <v>7616</v>
      </c>
    </row>
    <row r="25" spans="1:53">
      <c r="A25" t="s">
        <v>51</v>
      </c>
      <c r="B25" s="3">
        <v>2010</v>
      </c>
      <c r="C25" s="5">
        <v>66</v>
      </c>
      <c r="D25" s="5">
        <v>34</v>
      </c>
      <c r="E25" s="5">
        <v>66</v>
      </c>
      <c r="F25" s="5">
        <v>0</v>
      </c>
      <c r="G25" s="5">
        <v>6</v>
      </c>
      <c r="H25" s="5">
        <v>53</v>
      </c>
      <c r="I25" s="5">
        <v>0</v>
      </c>
      <c r="J25" s="5">
        <v>6</v>
      </c>
      <c r="K25" s="5">
        <v>290</v>
      </c>
      <c r="L25" s="5">
        <v>118</v>
      </c>
      <c r="M25" s="5">
        <v>242</v>
      </c>
      <c r="N25" s="5">
        <v>243</v>
      </c>
      <c r="O25" s="5">
        <v>114</v>
      </c>
      <c r="P25" s="5">
        <v>110</v>
      </c>
      <c r="Q25" s="5">
        <v>7</v>
      </c>
      <c r="R25" s="5">
        <v>0</v>
      </c>
      <c r="S25" s="5">
        <v>17</v>
      </c>
      <c r="T25" s="5">
        <v>60</v>
      </c>
      <c r="U25" s="5">
        <v>64</v>
      </c>
      <c r="V25" s="5">
        <v>1415</v>
      </c>
      <c r="W25" s="5">
        <v>108</v>
      </c>
      <c r="X25" s="5">
        <v>35</v>
      </c>
      <c r="Y25" s="5">
        <v>166</v>
      </c>
      <c r="Z25" s="5">
        <v>0</v>
      </c>
      <c r="AA25" s="5">
        <v>1</v>
      </c>
      <c r="AB25" s="5">
        <v>22</v>
      </c>
      <c r="AC25" s="5">
        <v>314</v>
      </c>
      <c r="AD25" s="5">
        <v>1243</v>
      </c>
      <c r="AE25" s="5">
        <v>252</v>
      </c>
      <c r="AF25" s="5">
        <v>511</v>
      </c>
      <c r="AG25" s="5">
        <v>78</v>
      </c>
      <c r="AH25" s="5">
        <v>7</v>
      </c>
      <c r="AI25" s="5">
        <v>607</v>
      </c>
      <c r="AJ25" s="5">
        <v>5</v>
      </c>
      <c r="AK25" s="5">
        <v>633</v>
      </c>
      <c r="AL25" s="5">
        <v>35</v>
      </c>
      <c r="AM25" s="5">
        <v>88</v>
      </c>
      <c r="AN25" s="5">
        <v>221</v>
      </c>
      <c r="AO25" s="5">
        <v>0</v>
      </c>
      <c r="AP25" s="5">
        <v>0</v>
      </c>
      <c r="AQ25" s="5">
        <v>8</v>
      </c>
      <c r="AR25" s="5">
        <v>35</v>
      </c>
      <c r="AS25" s="5">
        <v>8</v>
      </c>
      <c r="AT25" s="5">
        <v>200</v>
      </c>
      <c r="AU25" s="5">
        <v>99</v>
      </c>
      <c r="AV25" s="5">
        <v>157</v>
      </c>
      <c r="AW25" s="1"/>
      <c r="AX25" s="1"/>
      <c r="AY25" t="s">
        <v>51</v>
      </c>
      <c r="AZ25" s="3">
        <v>2010</v>
      </c>
      <c r="BA25">
        <f t="shared" si="0"/>
        <v>7744</v>
      </c>
    </row>
    <row r="26" spans="1:53">
      <c r="A26" t="s">
        <v>51</v>
      </c>
      <c r="B26" s="3">
        <v>2011</v>
      </c>
      <c r="C26" s="5">
        <v>84</v>
      </c>
      <c r="D26" s="5">
        <v>38</v>
      </c>
      <c r="E26" s="5">
        <v>85</v>
      </c>
      <c r="F26" s="5">
        <v>2</v>
      </c>
      <c r="G26" s="5">
        <v>5</v>
      </c>
      <c r="H26" s="5">
        <v>62</v>
      </c>
      <c r="I26" s="5">
        <v>0</v>
      </c>
      <c r="J26" s="5">
        <v>11</v>
      </c>
      <c r="K26" s="5">
        <v>303</v>
      </c>
      <c r="L26" s="5">
        <v>146</v>
      </c>
      <c r="M26" s="5">
        <v>278</v>
      </c>
      <c r="N26" s="5">
        <v>235</v>
      </c>
      <c r="O26" s="5">
        <v>145</v>
      </c>
      <c r="P26" s="5">
        <v>95</v>
      </c>
      <c r="Q26" s="5">
        <v>10</v>
      </c>
      <c r="R26" s="5">
        <v>0</v>
      </c>
      <c r="S26" s="5">
        <v>5</v>
      </c>
      <c r="T26" s="5">
        <v>67</v>
      </c>
      <c r="U26" s="5">
        <v>59</v>
      </c>
      <c r="V26" s="5">
        <v>1427</v>
      </c>
      <c r="W26" s="5">
        <v>92</v>
      </c>
      <c r="X26" s="5">
        <v>32</v>
      </c>
      <c r="Y26" s="5">
        <v>158</v>
      </c>
      <c r="Z26" s="5">
        <v>0</v>
      </c>
      <c r="AA26" s="5">
        <v>3</v>
      </c>
      <c r="AB26" s="5">
        <v>13</v>
      </c>
      <c r="AC26" s="5">
        <v>374</v>
      </c>
      <c r="AD26" s="5">
        <v>1247</v>
      </c>
      <c r="AE26" s="5">
        <v>284</v>
      </c>
      <c r="AF26" s="5">
        <v>469</v>
      </c>
      <c r="AG26" s="5">
        <v>79</v>
      </c>
      <c r="AH26" s="5">
        <v>7</v>
      </c>
      <c r="AI26" s="5">
        <v>619</v>
      </c>
      <c r="AJ26" s="5">
        <v>1</v>
      </c>
      <c r="AK26" s="5">
        <v>639</v>
      </c>
      <c r="AL26" s="5">
        <v>57</v>
      </c>
      <c r="AM26" s="5">
        <v>96</v>
      </c>
      <c r="AN26" s="5">
        <v>224</v>
      </c>
      <c r="AO26" s="5">
        <v>0</v>
      </c>
      <c r="AP26" s="5">
        <v>1</v>
      </c>
      <c r="AQ26" s="5">
        <v>6</v>
      </c>
      <c r="AR26" s="5">
        <v>40</v>
      </c>
      <c r="AS26" s="5">
        <v>11</v>
      </c>
      <c r="AT26" s="5">
        <v>193</v>
      </c>
      <c r="AU26" s="5">
        <v>116</v>
      </c>
      <c r="AV26" s="5">
        <v>179</v>
      </c>
      <c r="AW26" s="1"/>
      <c r="AX26" s="1"/>
      <c r="AY26" t="s">
        <v>51</v>
      </c>
      <c r="AZ26" s="3">
        <v>2011</v>
      </c>
      <c r="BA26">
        <f t="shared" si="0"/>
        <v>7997</v>
      </c>
    </row>
    <row r="27" spans="1:53">
      <c r="A27" t="s">
        <v>51</v>
      </c>
      <c r="B27" s="3">
        <v>2012</v>
      </c>
      <c r="C27" s="5">
        <v>93</v>
      </c>
      <c r="D27" s="5">
        <v>35</v>
      </c>
      <c r="E27" s="5">
        <v>88</v>
      </c>
      <c r="F27" s="5">
        <v>2</v>
      </c>
      <c r="G27" s="5">
        <v>10</v>
      </c>
      <c r="H27" s="5">
        <v>61</v>
      </c>
      <c r="I27" s="5">
        <v>0</v>
      </c>
      <c r="J27" s="5">
        <v>5</v>
      </c>
      <c r="K27" s="5">
        <v>306</v>
      </c>
      <c r="L27" s="5">
        <v>112</v>
      </c>
      <c r="M27" s="5">
        <v>265</v>
      </c>
      <c r="N27" s="5">
        <v>259</v>
      </c>
      <c r="O27" s="5">
        <v>127</v>
      </c>
      <c r="P27" s="5">
        <v>93</v>
      </c>
      <c r="Q27" s="5">
        <v>26</v>
      </c>
      <c r="R27" s="5">
        <v>0</v>
      </c>
      <c r="S27" s="5">
        <v>9</v>
      </c>
      <c r="T27" s="5">
        <v>74</v>
      </c>
      <c r="U27" s="5">
        <v>69</v>
      </c>
      <c r="V27" s="5">
        <v>1369</v>
      </c>
      <c r="W27" s="5">
        <v>93</v>
      </c>
      <c r="X27" s="5">
        <v>38</v>
      </c>
      <c r="Y27" s="5">
        <v>179</v>
      </c>
      <c r="Z27" s="5">
        <v>0</v>
      </c>
      <c r="AA27" s="5">
        <v>1</v>
      </c>
      <c r="AB27" s="5">
        <v>14</v>
      </c>
      <c r="AC27" s="5">
        <v>365</v>
      </c>
      <c r="AD27" s="5">
        <v>1329</v>
      </c>
      <c r="AE27" s="5">
        <v>299</v>
      </c>
      <c r="AF27" s="5">
        <v>448</v>
      </c>
      <c r="AG27" s="5">
        <v>59</v>
      </c>
      <c r="AH27" s="5">
        <v>2</v>
      </c>
      <c r="AI27" s="5">
        <v>612</v>
      </c>
      <c r="AJ27" s="5">
        <v>3</v>
      </c>
      <c r="AK27" s="5">
        <v>682</v>
      </c>
      <c r="AL27" s="5">
        <v>42</v>
      </c>
      <c r="AM27" s="5">
        <v>105</v>
      </c>
      <c r="AN27" s="5">
        <v>241</v>
      </c>
      <c r="AO27" s="5">
        <v>0</v>
      </c>
      <c r="AP27" s="5">
        <v>0</v>
      </c>
      <c r="AQ27" s="5">
        <v>13</v>
      </c>
      <c r="AR27" s="5">
        <v>27</v>
      </c>
      <c r="AS27" s="5">
        <v>7</v>
      </c>
      <c r="AT27" s="5">
        <v>192</v>
      </c>
      <c r="AU27" s="5">
        <v>106</v>
      </c>
      <c r="AV27" s="5">
        <v>144</v>
      </c>
      <c r="AW27" s="1"/>
      <c r="AX27" s="1"/>
      <c r="AY27" t="s">
        <v>51</v>
      </c>
      <c r="AZ27" s="3">
        <v>2012</v>
      </c>
      <c r="BA27">
        <f t="shared" si="0"/>
        <v>8004</v>
      </c>
    </row>
    <row r="28" spans="1:53">
      <c r="A28" t="s">
        <v>51</v>
      </c>
      <c r="B28" s="3">
        <v>2013</v>
      </c>
      <c r="C28" s="5">
        <v>96</v>
      </c>
      <c r="D28" s="5">
        <v>30</v>
      </c>
      <c r="E28" s="5">
        <v>105</v>
      </c>
      <c r="F28" s="5">
        <v>2</v>
      </c>
      <c r="G28" s="5">
        <v>10</v>
      </c>
      <c r="H28" s="5">
        <v>63</v>
      </c>
      <c r="I28" s="5">
        <v>0</v>
      </c>
      <c r="J28" s="5">
        <v>8</v>
      </c>
      <c r="K28" s="5">
        <v>348</v>
      </c>
      <c r="L28" s="5">
        <v>122</v>
      </c>
      <c r="M28" s="5">
        <v>250</v>
      </c>
      <c r="N28" s="5">
        <v>274</v>
      </c>
      <c r="O28" s="5">
        <v>125</v>
      </c>
      <c r="P28" s="5">
        <v>142</v>
      </c>
      <c r="Q28" s="5">
        <v>14</v>
      </c>
      <c r="R28" s="5">
        <v>0</v>
      </c>
      <c r="S28" s="5">
        <v>14</v>
      </c>
      <c r="T28" s="5">
        <v>58</v>
      </c>
      <c r="U28" s="5">
        <v>70</v>
      </c>
      <c r="V28" s="5">
        <v>1441</v>
      </c>
      <c r="W28" s="5">
        <v>93</v>
      </c>
      <c r="X28" s="5">
        <v>29</v>
      </c>
      <c r="Y28" s="5">
        <v>170</v>
      </c>
      <c r="Z28" s="5">
        <v>0</v>
      </c>
      <c r="AA28" s="5">
        <v>1</v>
      </c>
      <c r="AB28" s="5">
        <v>12</v>
      </c>
      <c r="AC28" s="5">
        <v>363</v>
      </c>
      <c r="AD28" s="5">
        <v>1296</v>
      </c>
      <c r="AE28" s="5">
        <v>344</v>
      </c>
      <c r="AF28" s="5">
        <v>534</v>
      </c>
      <c r="AG28" s="5">
        <v>66</v>
      </c>
      <c r="AH28" s="5">
        <v>1</v>
      </c>
      <c r="AI28" s="5">
        <v>650</v>
      </c>
      <c r="AJ28" s="5">
        <v>1</v>
      </c>
      <c r="AK28" s="5">
        <v>758</v>
      </c>
      <c r="AL28" s="5">
        <v>46</v>
      </c>
      <c r="AM28" s="5">
        <v>87</v>
      </c>
      <c r="AN28" s="5">
        <v>257</v>
      </c>
      <c r="AO28" s="5">
        <v>0</v>
      </c>
      <c r="AP28" s="5">
        <v>0</v>
      </c>
      <c r="AQ28" s="5">
        <v>6</v>
      </c>
      <c r="AR28" s="5">
        <v>34</v>
      </c>
      <c r="AS28" s="5">
        <v>9</v>
      </c>
      <c r="AT28" s="5">
        <v>201</v>
      </c>
      <c r="AU28" s="5">
        <v>107</v>
      </c>
      <c r="AV28" s="5">
        <v>130</v>
      </c>
      <c r="AW28" s="1"/>
      <c r="AX28" s="1"/>
      <c r="AY28" t="s">
        <v>51</v>
      </c>
      <c r="AZ28" s="3">
        <v>2013</v>
      </c>
      <c r="BA28">
        <f t="shared" si="0"/>
        <v>8367</v>
      </c>
    </row>
    <row r="29" spans="1:53">
      <c r="A29" t="s">
        <v>51</v>
      </c>
      <c r="B29" s="3">
        <v>2014</v>
      </c>
      <c r="C29" s="5">
        <v>90</v>
      </c>
      <c r="D29" s="5">
        <v>24</v>
      </c>
      <c r="E29" s="5">
        <v>89</v>
      </c>
      <c r="F29" s="5">
        <v>0</v>
      </c>
      <c r="G29" s="5">
        <v>7</v>
      </c>
      <c r="H29" s="5">
        <v>50</v>
      </c>
      <c r="I29" s="5">
        <v>0</v>
      </c>
      <c r="J29" s="5">
        <v>9</v>
      </c>
      <c r="K29" s="5">
        <v>346</v>
      </c>
      <c r="L29" s="5">
        <v>143</v>
      </c>
      <c r="M29" s="5">
        <v>362</v>
      </c>
      <c r="N29" s="5">
        <v>308</v>
      </c>
      <c r="O29" s="5">
        <v>103</v>
      </c>
      <c r="P29" s="5">
        <v>95</v>
      </c>
      <c r="Q29" s="5">
        <v>0</v>
      </c>
      <c r="R29" s="5">
        <v>0</v>
      </c>
      <c r="S29" s="5">
        <v>14</v>
      </c>
      <c r="T29" s="5">
        <v>77</v>
      </c>
      <c r="U29" s="5">
        <v>68</v>
      </c>
      <c r="V29" s="5">
        <v>1427</v>
      </c>
      <c r="W29" s="5">
        <v>95</v>
      </c>
      <c r="X29" s="5">
        <v>46</v>
      </c>
      <c r="Y29" s="5">
        <v>194</v>
      </c>
      <c r="Z29" s="5">
        <v>0</v>
      </c>
      <c r="AA29" s="5">
        <v>0</v>
      </c>
      <c r="AB29" s="5">
        <v>10</v>
      </c>
      <c r="AC29" s="5">
        <v>421</v>
      </c>
      <c r="AD29" s="5">
        <v>1334</v>
      </c>
      <c r="AE29" s="5">
        <v>300</v>
      </c>
      <c r="AF29" s="5">
        <v>509</v>
      </c>
      <c r="AG29" s="5">
        <v>71</v>
      </c>
      <c r="AH29" s="5">
        <v>3</v>
      </c>
      <c r="AI29" s="5">
        <v>722</v>
      </c>
      <c r="AJ29" s="5">
        <v>8</v>
      </c>
      <c r="AK29" s="5">
        <v>700</v>
      </c>
      <c r="AL29" s="5">
        <v>59</v>
      </c>
      <c r="AM29" s="5">
        <v>84</v>
      </c>
      <c r="AN29" s="5">
        <v>285</v>
      </c>
      <c r="AO29" s="5">
        <v>0</v>
      </c>
      <c r="AP29" s="5">
        <v>0</v>
      </c>
      <c r="AQ29" s="5">
        <v>10</v>
      </c>
      <c r="AR29" s="5">
        <v>38</v>
      </c>
      <c r="AS29" s="5">
        <v>8</v>
      </c>
      <c r="AT29" s="5">
        <v>192</v>
      </c>
      <c r="AU29" s="5">
        <v>136</v>
      </c>
      <c r="AV29" s="5">
        <v>111</v>
      </c>
      <c r="AW29" s="1"/>
      <c r="AX29" s="1"/>
      <c r="AY29" t="s">
        <v>51</v>
      </c>
      <c r="AZ29" s="3">
        <v>2014</v>
      </c>
      <c r="BA29">
        <f t="shared" si="0"/>
        <v>8548</v>
      </c>
    </row>
    <row r="30" spans="1:53">
      <c r="A30" t="s">
        <v>51</v>
      </c>
      <c r="B30" s="3">
        <v>2015</v>
      </c>
      <c r="C30" s="5">
        <v>79</v>
      </c>
      <c r="D30" s="5">
        <v>29</v>
      </c>
      <c r="E30" s="5">
        <v>67</v>
      </c>
      <c r="F30" s="5">
        <v>1</v>
      </c>
      <c r="G30" s="5">
        <v>8</v>
      </c>
      <c r="H30" s="5">
        <v>58</v>
      </c>
      <c r="I30" s="5">
        <v>5</v>
      </c>
      <c r="J30" s="5">
        <v>9</v>
      </c>
      <c r="K30" s="5">
        <v>348</v>
      </c>
      <c r="L30" s="5">
        <v>135</v>
      </c>
      <c r="M30" s="5">
        <v>330</v>
      </c>
      <c r="N30" s="5">
        <v>295</v>
      </c>
      <c r="O30" s="5">
        <v>104</v>
      </c>
      <c r="P30" s="5">
        <v>112</v>
      </c>
      <c r="Q30" s="5">
        <v>0</v>
      </c>
      <c r="R30" s="5">
        <v>0</v>
      </c>
      <c r="S30" s="5">
        <v>15</v>
      </c>
      <c r="T30" s="5">
        <v>81</v>
      </c>
      <c r="U30" s="5">
        <v>78</v>
      </c>
      <c r="V30" s="5">
        <v>1514</v>
      </c>
      <c r="W30" s="5">
        <v>94</v>
      </c>
      <c r="X30" s="5">
        <v>41</v>
      </c>
      <c r="Y30" s="5">
        <v>197</v>
      </c>
      <c r="Z30" s="5">
        <v>0</v>
      </c>
      <c r="AA30" s="5">
        <v>0</v>
      </c>
      <c r="AB30" s="5">
        <v>9</v>
      </c>
      <c r="AC30" s="5">
        <v>392</v>
      </c>
      <c r="AD30" s="5">
        <v>1314</v>
      </c>
      <c r="AE30" s="5">
        <v>308</v>
      </c>
      <c r="AF30" s="5">
        <v>529</v>
      </c>
      <c r="AG30" s="5">
        <v>84</v>
      </c>
      <c r="AH30" s="5">
        <v>0</v>
      </c>
      <c r="AI30" s="5">
        <v>734</v>
      </c>
      <c r="AJ30" s="5">
        <v>1</v>
      </c>
      <c r="AK30" s="5">
        <v>753</v>
      </c>
      <c r="AL30" s="5">
        <v>80</v>
      </c>
      <c r="AM30" s="5">
        <v>102</v>
      </c>
      <c r="AN30" s="5">
        <v>285</v>
      </c>
      <c r="AO30" s="5">
        <v>0</v>
      </c>
      <c r="AP30" s="5">
        <v>1</v>
      </c>
      <c r="AQ30" s="5">
        <v>10</v>
      </c>
      <c r="AR30" s="5">
        <v>28</v>
      </c>
      <c r="AS30" s="5">
        <v>8</v>
      </c>
      <c r="AT30" s="5">
        <v>216</v>
      </c>
      <c r="AU30" s="5">
        <v>119</v>
      </c>
      <c r="AV30" s="5">
        <v>115</v>
      </c>
      <c r="AW30" s="1"/>
      <c r="AX30" s="1"/>
      <c r="AY30" t="s">
        <v>51</v>
      </c>
      <c r="AZ30" s="3">
        <v>2015</v>
      </c>
      <c r="BA30">
        <f t="shared" si="0"/>
        <v>8688</v>
      </c>
    </row>
    <row r="31" spans="1:53">
      <c r="A31" t="s">
        <v>51</v>
      </c>
      <c r="B31" s="3">
        <v>2016</v>
      </c>
      <c r="C31" s="5">
        <v>104</v>
      </c>
      <c r="D31" s="5">
        <v>21</v>
      </c>
      <c r="E31" s="5">
        <v>45</v>
      </c>
      <c r="F31" s="5">
        <v>0</v>
      </c>
      <c r="G31" s="5">
        <v>6</v>
      </c>
      <c r="H31" s="5">
        <v>45</v>
      </c>
      <c r="I31" s="5">
        <v>5</v>
      </c>
      <c r="J31" s="5">
        <v>14</v>
      </c>
      <c r="K31" s="5">
        <v>362</v>
      </c>
      <c r="L31" s="5">
        <v>168</v>
      </c>
      <c r="M31" s="5">
        <v>341</v>
      </c>
      <c r="N31" s="5">
        <v>312</v>
      </c>
      <c r="O31" s="5">
        <v>92</v>
      </c>
      <c r="P31" s="5">
        <v>105</v>
      </c>
      <c r="Q31" s="5">
        <v>0</v>
      </c>
      <c r="R31" s="5">
        <v>0</v>
      </c>
      <c r="S31" s="5">
        <v>10</v>
      </c>
      <c r="T31" s="5">
        <v>102</v>
      </c>
      <c r="U31" s="5">
        <v>83</v>
      </c>
      <c r="V31" s="5">
        <v>1615</v>
      </c>
      <c r="W31" s="5">
        <v>86</v>
      </c>
      <c r="X31" s="5">
        <v>43</v>
      </c>
      <c r="Y31" s="5">
        <v>219</v>
      </c>
      <c r="Z31" s="5">
        <v>2</v>
      </c>
      <c r="AA31" s="5">
        <v>1</v>
      </c>
      <c r="AB31" s="5">
        <v>10</v>
      </c>
      <c r="AC31" s="5">
        <v>396</v>
      </c>
      <c r="AD31" s="5">
        <v>1392</v>
      </c>
      <c r="AE31" s="5">
        <v>297</v>
      </c>
      <c r="AF31" s="5">
        <v>557</v>
      </c>
      <c r="AG31" s="5">
        <v>79</v>
      </c>
      <c r="AH31" s="5">
        <v>4</v>
      </c>
      <c r="AI31" s="5">
        <v>786</v>
      </c>
      <c r="AJ31" s="5">
        <v>4</v>
      </c>
      <c r="AK31" s="5">
        <v>729</v>
      </c>
      <c r="AL31" s="5">
        <v>57</v>
      </c>
      <c r="AM31" s="5">
        <v>86</v>
      </c>
      <c r="AN31" s="5">
        <v>341</v>
      </c>
      <c r="AO31" s="5">
        <v>0</v>
      </c>
      <c r="AP31" s="5">
        <v>0</v>
      </c>
      <c r="AQ31" s="5">
        <v>15</v>
      </c>
      <c r="AR31" s="5">
        <v>20</v>
      </c>
      <c r="AS31" s="5">
        <v>9</v>
      </c>
      <c r="AT31" s="5">
        <v>173</v>
      </c>
      <c r="AU31" s="5">
        <v>113</v>
      </c>
      <c r="AV31" s="5">
        <v>95</v>
      </c>
      <c r="AW31" s="1"/>
      <c r="AX31" s="1"/>
      <c r="AY31" t="s">
        <v>51</v>
      </c>
      <c r="AZ31" s="3">
        <v>2016</v>
      </c>
      <c r="BA31">
        <f t="shared" si="0"/>
        <v>8944</v>
      </c>
    </row>
    <row r="32" spans="1:53">
      <c r="A32" t="s">
        <v>51</v>
      </c>
      <c r="B32" s="3">
        <v>2017</v>
      </c>
      <c r="C32" s="5">
        <v>93</v>
      </c>
      <c r="D32" s="5">
        <v>21</v>
      </c>
      <c r="E32" s="5">
        <v>66</v>
      </c>
      <c r="F32" s="5">
        <v>0</v>
      </c>
      <c r="G32" s="5">
        <v>20</v>
      </c>
      <c r="H32" s="5">
        <v>52</v>
      </c>
      <c r="I32" s="5">
        <v>7</v>
      </c>
      <c r="J32" s="5">
        <v>11</v>
      </c>
      <c r="K32" s="5">
        <v>421</v>
      </c>
      <c r="L32" s="5">
        <v>146</v>
      </c>
      <c r="M32" s="5">
        <v>363</v>
      </c>
      <c r="N32" s="5">
        <v>317</v>
      </c>
      <c r="O32" s="5">
        <v>98</v>
      </c>
      <c r="P32" s="5">
        <v>114</v>
      </c>
      <c r="Q32" s="5">
        <v>0</v>
      </c>
      <c r="R32" s="5">
        <v>0</v>
      </c>
      <c r="S32" s="5">
        <v>15</v>
      </c>
      <c r="T32" s="5">
        <v>100</v>
      </c>
      <c r="U32" s="5">
        <v>79</v>
      </c>
      <c r="V32" s="5">
        <v>1668</v>
      </c>
      <c r="W32" s="5">
        <v>79</v>
      </c>
      <c r="X32" s="5">
        <v>39</v>
      </c>
      <c r="Y32" s="5">
        <v>188</v>
      </c>
      <c r="Z32" s="5">
        <v>1</v>
      </c>
      <c r="AA32" s="5">
        <v>0</v>
      </c>
      <c r="AB32" s="5">
        <v>6</v>
      </c>
      <c r="AC32" s="5">
        <v>400</v>
      </c>
      <c r="AD32" s="5">
        <v>1403</v>
      </c>
      <c r="AE32" s="5">
        <v>288</v>
      </c>
      <c r="AF32" s="5">
        <v>509</v>
      </c>
      <c r="AG32" s="5">
        <v>75</v>
      </c>
      <c r="AH32" s="5">
        <v>5</v>
      </c>
      <c r="AI32" s="5">
        <v>765</v>
      </c>
      <c r="AJ32" s="5">
        <v>5</v>
      </c>
      <c r="AK32" s="5">
        <v>761</v>
      </c>
      <c r="AL32" s="5">
        <v>54</v>
      </c>
      <c r="AM32" s="5">
        <v>85</v>
      </c>
      <c r="AN32" s="5">
        <v>329</v>
      </c>
      <c r="AO32" s="5">
        <v>0</v>
      </c>
      <c r="AP32" s="5">
        <v>0</v>
      </c>
      <c r="AQ32" s="5">
        <v>8</v>
      </c>
      <c r="AR32" s="5">
        <v>28</v>
      </c>
      <c r="AS32" s="5">
        <v>8</v>
      </c>
      <c r="AT32" s="5">
        <v>182</v>
      </c>
      <c r="AU32" s="5">
        <v>124</v>
      </c>
      <c r="AV32" s="5">
        <v>106</v>
      </c>
      <c r="AW32" s="1"/>
      <c r="AX32" s="1"/>
      <c r="AY32" t="s">
        <v>51</v>
      </c>
      <c r="AZ32" s="3">
        <v>2017</v>
      </c>
      <c r="BA32">
        <f t="shared" si="0"/>
        <v>9039</v>
      </c>
    </row>
    <row r="33" spans="1:53">
      <c r="A33" t="s">
        <v>51</v>
      </c>
      <c r="B33" s="3">
        <v>2018</v>
      </c>
      <c r="C33" s="5">
        <v>75</v>
      </c>
      <c r="D33" s="5">
        <v>18</v>
      </c>
      <c r="E33" s="5">
        <v>110</v>
      </c>
      <c r="F33" s="5">
        <v>0</v>
      </c>
      <c r="G33" s="5">
        <v>3</v>
      </c>
      <c r="H33" s="5">
        <v>45</v>
      </c>
      <c r="I33" s="5">
        <v>16</v>
      </c>
      <c r="J33" s="5">
        <v>16</v>
      </c>
      <c r="K33" s="5">
        <v>386</v>
      </c>
      <c r="L33" s="5">
        <v>141</v>
      </c>
      <c r="M33" s="5">
        <v>348</v>
      </c>
      <c r="N33" s="5">
        <v>301</v>
      </c>
      <c r="O33" s="5">
        <v>136</v>
      </c>
      <c r="P33" s="5">
        <v>115</v>
      </c>
      <c r="Q33" s="5">
        <v>0</v>
      </c>
      <c r="R33" s="5">
        <v>0</v>
      </c>
      <c r="S33" s="5">
        <v>20</v>
      </c>
      <c r="T33" s="5">
        <v>99</v>
      </c>
      <c r="U33" s="5">
        <v>94</v>
      </c>
      <c r="V33" s="5">
        <v>1405</v>
      </c>
      <c r="W33" s="5">
        <v>67</v>
      </c>
      <c r="X33" s="5">
        <v>51</v>
      </c>
      <c r="Y33" s="5">
        <v>212</v>
      </c>
      <c r="Z33" s="5">
        <v>0</v>
      </c>
      <c r="AA33" s="5">
        <v>0</v>
      </c>
      <c r="AB33" s="5">
        <v>7</v>
      </c>
      <c r="AC33" s="5">
        <v>414</v>
      </c>
      <c r="AD33" s="5">
        <v>1372</v>
      </c>
      <c r="AE33" s="5">
        <v>449</v>
      </c>
      <c r="AF33" s="5">
        <v>558</v>
      </c>
      <c r="AG33" s="5">
        <v>78</v>
      </c>
      <c r="AH33" s="5">
        <v>2</v>
      </c>
      <c r="AI33" s="5">
        <v>912</v>
      </c>
      <c r="AJ33" s="5">
        <v>2</v>
      </c>
      <c r="AK33" s="5">
        <v>772</v>
      </c>
      <c r="AL33" s="5">
        <v>65</v>
      </c>
      <c r="AM33" s="5">
        <v>83</v>
      </c>
      <c r="AN33" s="5">
        <v>347</v>
      </c>
      <c r="AO33" s="5">
        <v>0</v>
      </c>
      <c r="AP33" s="5">
        <v>0</v>
      </c>
      <c r="AQ33" s="5">
        <v>15</v>
      </c>
      <c r="AR33" s="5">
        <v>28</v>
      </c>
      <c r="AS33" s="5">
        <v>9</v>
      </c>
      <c r="AT33" s="5">
        <v>182</v>
      </c>
      <c r="AU33" s="5">
        <v>125</v>
      </c>
      <c r="AV33" s="5">
        <v>84</v>
      </c>
      <c r="AW33" s="1"/>
      <c r="AX33" s="1"/>
      <c r="AY33" t="s">
        <v>51</v>
      </c>
      <c r="AZ33" s="3">
        <v>2018</v>
      </c>
      <c r="BA33">
        <f t="shared" si="0"/>
        <v>9162</v>
      </c>
    </row>
    <row r="34" spans="1:53">
      <c r="A34" t="s">
        <v>51</v>
      </c>
      <c r="B34" s="3">
        <v>2019</v>
      </c>
      <c r="C34" s="5">
        <v>94</v>
      </c>
      <c r="D34" s="5">
        <v>29</v>
      </c>
      <c r="E34" s="5">
        <v>118</v>
      </c>
      <c r="F34" s="5">
        <v>0</v>
      </c>
      <c r="G34" s="5">
        <v>7</v>
      </c>
      <c r="H34" s="5">
        <v>62</v>
      </c>
      <c r="I34" s="5">
        <v>19</v>
      </c>
      <c r="J34" s="5">
        <v>13</v>
      </c>
      <c r="K34" s="5">
        <v>392</v>
      </c>
      <c r="L34" s="5">
        <v>141</v>
      </c>
      <c r="M34" s="5">
        <v>343</v>
      </c>
      <c r="N34" s="5">
        <v>311</v>
      </c>
      <c r="O34" s="5">
        <v>99</v>
      </c>
      <c r="P34" s="5">
        <v>122</v>
      </c>
      <c r="Q34" s="5">
        <v>0</v>
      </c>
      <c r="R34" s="5">
        <v>1</v>
      </c>
      <c r="S34" s="5">
        <v>9</v>
      </c>
      <c r="T34" s="5">
        <v>94</v>
      </c>
      <c r="U34" s="5">
        <v>93</v>
      </c>
      <c r="V34" s="5">
        <v>1429</v>
      </c>
      <c r="W34" s="5">
        <v>66</v>
      </c>
      <c r="X34" s="5">
        <v>65</v>
      </c>
      <c r="Y34" s="5">
        <v>213</v>
      </c>
      <c r="Z34" s="5">
        <v>0</v>
      </c>
      <c r="AA34" s="5">
        <v>1</v>
      </c>
      <c r="AB34" s="5">
        <v>10</v>
      </c>
      <c r="AC34" s="5">
        <v>418</v>
      </c>
      <c r="AD34" s="5">
        <v>1491</v>
      </c>
      <c r="AE34" s="5">
        <v>435</v>
      </c>
      <c r="AF34" s="5">
        <v>494</v>
      </c>
      <c r="AG34" s="5">
        <v>73</v>
      </c>
      <c r="AH34" s="5">
        <v>5</v>
      </c>
      <c r="AI34" s="5">
        <v>1007</v>
      </c>
      <c r="AJ34" s="5">
        <v>5</v>
      </c>
      <c r="AK34" s="5">
        <v>796</v>
      </c>
      <c r="AL34" s="5">
        <v>66</v>
      </c>
      <c r="AM34" s="5">
        <v>92</v>
      </c>
      <c r="AN34" s="5">
        <v>383</v>
      </c>
      <c r="AO34" s="5">
        <v>0</v>
      </c>
      <c r="AP34" s="5">
        <v>0</v>
      </c>
      <c r="AQ34" s="5">
        <v>21</v>
      </c>
      <c r="AR34" s="5">
        <v>31</v>
      </c>
      <c r="AS34" s="5">
        <v>5</v>
      </c>
      <c r="AT34" s="5">
        <v>195</v>
      </c>
      <c r="AU34" s="5">
        <v>109</v>
      </c>
      <c r="AV34" s="5">
        <v>116</v>
      </c>
      <c r="AW34" s="1"/>
      <c r="AX34" s="1"/>
      <c r="AY34" t="s">
        <v>51</v>
      </c>
      <c r="AZ34" s="3">
        <v>2019</v>
      </c>
      <c r="BA34">
        <f t="shared" si="0"/>
        <v>9473</v>
      </c>
    </row>
    <row r="35" spans="1:53">
      <c r="A35" t="s">
        <v>51</v>
      </c>
      <c r="B35" s="3">
        <v>2020</v>
      </c>
      <c r="C35" s="5">
        <v>55</v>
      </c>
      <c r="D35" s="5">
        <v>35</v>
      </c>
      <c r="E35" s="5">
        <v>144</v>
      </c>
      <c r="F35" s="5">
        <v>1</v>
      </c>
      <c r="G35" s="5">
        <v>11</v>
      </c>
      <c r="H35" s="5">
        <v>2890</v>
      </c>
      <c r="I35" s="5">
        <v>20</v>
      </c>
      <c r="J35" s="5">
        <v>12</v>
      </c>
      <c r="K35" s="5">
        <v>418</v>
      </c>
      <c r="L35" s="5">
        <v>153</v>
      </c>
      <c r="M35" s="5">
        <v>367</v>
      </c>
      <c r="N35" s="5">
        <v>343</v>
      </c>
      <c r="O35" s="5">
        <v>121</v>
      </c>
      <c r="P35" s="5">
        <v>124</v>
      </c>
      <c r="Q35" s="5">
        <v>0</v>
      </c>
      <c r="R35" s="5">
        <v>10</v>
      </c>
      <c r="S35" s="5">
        <v>12</v>
      </c>
      <c r="T35" s="5">
        <v>118</v>
      </c>
      <c r="U35" s="5">
        <v>61</v>
      </c>
      <c r="V35" s="5">
        <v>2175</v>
      </c>
      <c r="W35" s="5">
        <v>59</v>
      </c>
      <c r="X35" s="5">
        <v>74</v>
      </c>
      <c r="Y35" s="5">
        <v>266</v>
      </c>
      <c r="Z35" s="5">
        <v>0</v>
      </c>
      <c r="AA35" s="5">
        <v>0</v>
      </c>
      <c r="AB35" s="5">
        <v>8</v>
      </c>
      <c r="AC35" s="5">
        <v>572</v>
      </c>
      <c r="AD35" s="5">
        <v>2372</v>
      </c>
      <c r="AE35" s="5">
        <v>595</v>
      </c>
      <c r="AF35" s="5">
        <v>522</v>
      </c>
      <c r="AG35" s="5">
        <v>96</v>
      </c>
      <c r="AH35" s="5">
        <v>6</v>
      </c>
      <c r="AI35" s="5">
        <v>1428</v>
      </c>
      <c r="AJ35" s="5">
        <v>4</v>
      </c>
      <c r="AK35" s="5">
        <v>768</v>
      </c>
      <c r="AL35" s="5">
        <v>46</v>
      </c>
      <c r="AM35" s="5">
        <v>106</v>
      </c>
      <c r="AN35" s="5">
        <v>348</v>
      </c>
      <c r="AO35" s="5">
        <v>0</v>
      </c>
      <c r="AP35" s="5">
        <v>0</v>
      </c>
      <c r="AQ35" s="5">
        <v>9</v>
      </c>
      <c r="AR35" s="5">
        <v>33</v>
      </c>
      <c r="AS35" s="5">
        <v>17</v>
      </c>
      <c r="AT35" s="5">
        <v>160</v>
      </c>
      <c r="AU35" s="5">
        <v>95</v>
      </c>
      <c r="AV35" s="5">
        <v>135</v>
      </c>
      <c r="AW35" s="1"/>
      <c r="AX35" s="1"/>
      <c r="AY35" t="s">
        <v>51</v>
      </c>
      <c r="AZ35" s="3">
        <v>2020</v>
      </c>
      <c r="BA35">
        <f t="shared" si="0"/>
        <v>14789</v>
      </c>
    </row>
    <row r="36" spans="1:53">
      <c r="A36" t="s">
        <v>51</v>
      </c>
      <c r="B36" s="3">
        <v>2021</v>
      </c>
      <c r="C36" s="5">
        <v>54</v>
      </c>
      <c r="D36" s="5">
        <v>26</v>
      </c>
      <c r="E36" s="5">
        <v>152</v>
      </c>
      <c r="F36" s="5">
        <v>2</v>
      </c>
      <c r="G36" s="5">
        <v>18</v>
      </c>
      <c r="H36" s="5">
        <v>1812</v>
      </c>
      <c r="I36" s="5">
        <v>15</v>
      </c>
      <c r="J36" s="5">
        <v>20</v>
      </c>
      <c r="K36" s="5">
        <v>420</v>
      </c>
      <c r="L36" s="5">
        <v>160</v>
      </c>
      <c r="M36" s="5">
        <v>376</v>
      </c>
      <c r="N36" s="5">
        <v>335</v>
      </c>
      <c r="O36" s="5">
        <v>105</v>
      </c>
      <c r="P36" s="5">
        <v>117</v>
      </c>
      <c r="Q36" s="5">
        <v>0</v>
      </c>
      <c r="R36" s="5">
        <v>5</v>
      </c>
      <c r="S36" s="5">
        <v>18</v>
      </c>
      <c r="T36" s="5">
        <v>139</v>
      </c>
      <c r="U36" s="5">
        <v>94</v>
      </c>
      <c r="V36" s="5">
        <v>1682</v>
      </c>
      <c r="W36" s="5">
        <v>64</v>
      </c>
      <c r="X36" s="5">
        <v>57</v>
      </c>
      <c r="Y36" s="5">
        <v>200</v>
      </c>
      <c r="Z36" s="5">
        <v>0</v>
      </c>
      <c r="AA36" s="5">
        <v>0</v>
      </c>
      <c r="AB36" s="5">
        <v>14</v>
      </c>
      <c r="AC36" s="5">
        <v>482</v>
      </c>
      <c r="AD36" s="5">
        <v>2050</v>
      </c>
      <c r="AE36" s="5">
        <v>373</v>
      </c>
      <c r="AF36" s="5">
        <v>517</v>
      </c>
      <c r="AG36" s="5">
        <v>86</v>
      </c>
      <c r="AH36" s="5">
        <v>4</v>
      </c>
      <c r="AI36" s="5">
        <v>1022</v>
      </c>
      <c r="AJ36" s="5">
        <v>1</v>
      </c>
      <c r="AK36" s="5">
        <v>889</v>
      </c>
      <c r="AL36" s="5">
        <v>58</v>
      </c>
      <c r="AM36" s="5">
        <v>72</v>
      </c>
      <c r="AN36" s="5">
        <v>356</v>
      </c>
      <c r="AO36" s="5">
        <v>0</v>
      </c>
      <c r="AP36" s="5">
        <v>0</v>
      </c>
      <c r="AQ36" s="5">
        <v>13</v>
      </c>
      <c r="AR36" s="5">
        <v>32</v>
      </c>
      <c r="AS36" s="5">
        <v>11</v>
      </c>
      <c r="AT36" s="5">
        <v>189</v>
      </c>
      <c r="AU36" s="5">
        <v>97</v>
      </c>
      <c r="AV36" s="5">
        <v>91</v>
      </c>
      <c r="AW36" s="1"/>
      <c r="AX36" s="1"/>
      <c r="AY36" t="s">
        <v>51</v>
      </c>
      <c r="AZ36" s="3">
        <v>2021</v>
      </c>
      <c r="BA36">
        <f t="shared" si="0"/>
        <v>12228</v>
      </c>
    </row>
    <row r="37" spans="1:53">
      <c r="A37" t="s">
        <v>51</v>
      </c>
      <c r="B37" s="3">
        <v>2022</v>
      </c>
      <c r="C37" s="5">
        <v>46</v>
      </c>
      <c r="D37" s="5">
        <v>39</v>
      </c>
      <c r="E37" s="5">
        <v>150</v>
      </c>
      <c r="F37" s="5">
        <v>2</v>
      </c>
      <c r="G37" s="5">
        <v>5</v>
      </c>
      <c r="H37" s="5">
        <v>754</v>
      </c>
      <c r="I37" s="5">
        <v>29</v>
      </c>
      <c r="J37" s="5">
        <v>11</v>
      </c>
      <c r="K37" s="5">
        <v>395</v>
      </c>
      <c r="L37" s="5">
        <v>136</v>
      </c>
      <c r="M37" s="5">
        <v>394</v>
      </c>
      <c r="N37" s="5">
        <v>352</v>
      </c>
      <c r="O37" s="5">
        <v>132</v>
      </c>
      <c r="P37" s="5">
        <v>118</v>
      </c>
      <c r="Q37" s="5">
        <v>0</v>
      </c>
      <c r="R37" s="5">
        <v>3</v>
      </c>
      <c r="S37" s="5">
        <v>12</v>
      </c>
      <c r="T37" s="5">
        <v>126</v>
      </c>
      <c r="U37" s="5">
        <v>62</v>
      </c>
      <c r="V37" s="5">
        <v>1631</v>
      </c>
      <c r="W37" s="5">
        <v>56</v>
      </c>
      <c r="X37" s="5">
        <v>74</v>
      </c>
      <c r="Y37" s="5">
        <v>224</v>
      </c>
      <c r="Z37" s="5">
        <v>0</v>
      </c>
      <c r="AA37" s="5">
        <v>0</v>
      </c>
      <c r="AB37" s="5">
        <v>10</v>
      </c>
      <c r="AC37" s="5">
        <v>533</v>
      </c>
      <c r="AD37" s="5">
        <v>1994</v>
      </c>
      <c r="AE37" s="5">
        <v>276</v>
      </c>
      <c r="AF37" s="5">
        <v>513</v>
      </c>
      <c r="AG37" s="5">
        <v>101</v>
      </c>
      <c r="AH37" s="5">
        <v>3</v>
      </c>
      <c r="AI37" s="5">
        <v>971</v>
      </c>
      <c r="AJ37" s="5">
        <v>2</v>
      </c>
      <c r="AK37" s="5">
        <v>866</v>
      </c>
      <c r="AL37" s="5">
        <v>66</v>
      </c>
      <c r="AM37" s="5">
        <v>84</v>
      </c>
      <c r="AN37" s="5">
        <v>430</v>
      </c>
      <c r="AO37" s="5">
        <v>0</v>
      </c>
      <c r="AP37" s="5">
        <v>1</v>
      </c>
      <c r="AQ37" s="5">
        <v>12</v>
      </c>
      <c r="AR37" s="5">
        <v>24</v>
      </c>
      <c r="AS37" s="5">
        <v>12</v>
      </c>
      <c r="AT37" s="5">
        <v>169</v>
      </c>
      <c r="AU37" s="5">
        <v>82</v>
      </c>
      <c r="AV37" s="5">
        <v>144</v>
      </c>
      <c r="AW37" s="1"/>
      <c r="AX37" s="1"/>
      <c r="AY37" t="s">
        <v>51</v>
      </c>
      <c r="AZ37" s="3">
        <v>2022</v>
      </c>
      <c r="BA37">
        <f t="shared" si="0"/>
        <v>11044</v>
      </c>
    </row>
    <row r="38" spans="1:53">
      <c r="A38" t="s">
        <v>51</v>
      </c>
      <c r="B38" s="3">
        <v>2023</v>
      </c>
      <c r="C38" s="5">
        <v>67</v>
      </c>
      <c r="D38" s="5">
        <v>29</v>
      </c>
      <c r="E38" s="5">
        <v>114</v>
      </c>
      <c r="F38" s="5">
        <v>2</v>
      </c>
      <c r="G38" s="5">
        <v>4</v>
      </c>
      <c r="H38" s="5">
        <v>122</v>
      </c>
      <c r="I38" s="5">
        <v>17</v>
      </c>
      <c r="J38" s="5">
        <v>12</v>
      </c>
      <c r="K38" s="5">
        <v>436</v>
      </c>
      <c r="L38" s="5">
        <v>131</v>
      </c>
      <c r="M38" s="5">
        <v>401</v>
      </c>
      <c r="N38" s="5">
        <v>403</v>
      </c>
      <c r="O38" s="5">
        <v>111</v>
      </c>
      <c r="P38" s="5">
        <v>134</v>
      </c>
      <c r="Q38" s="5">
        <v>0</v>
      </c>
      <c r="R38" s="5">
        <v>4</v>
      </c>
      <c r="S38" s="5">
        <v>14</v>
      </c>
      <c r="T38" s="5">
        <v>160</v>
      </c>
      <c r="U38" s="5">
        <v>67</v>
      </c>
      <c r="V38" s="5">
        <v>1581</v>
      </c>
      <c r="W38" s="5">
        <v>63</v>
      </c>
      <c r="X38" s="5">
        <v>66</v>
      </c>
      <c r="Y38" s="5">
        <v>241</v>
      </c>
      <c r="Z38" s="5">
        <v>1</v>
      </c>
      <c r="AA38" s="5">
        <v>1</v>
      </c>
      <c r="AB38" s="5">
        <v>7</v>
      </c>
      <c r="AC38" s="5">
        <v>539</v>
      </c>
      <c r="AD38" s="5">
        <v>1889</v>
      </c>
      <c r="AE38" s="5">
        <v>300</v>
      </c>
      <c r="AF38" s="5">
        <v>478</v>
      </c>
      <c r="AG38" s="5">
        <v>74</v>
      </c>
      <c r="AH38" s="5">
        <v>5</v>
      </c>
      <c r="AI38" s="5">
        <v>1074</v>
      </c>
      <c r="AJ38" s="5">
        <v>2</v>
      </c>
      <c r="AK38" s="5">
        <v>892</v>
      </c>
      <c r="AL38" s="5">
        <v>105</v>
      </c>
      <c r="AM38" s="5">
        <v>91</v>
      </c>
      <c r="AN38" s="5">
        <v>494</v>
      </c>
      <c r="AO38" s="5">
        <v>0</v>
      </c>
      <c r="AP38" s="5">
        <v>0</v>
      </c>
      <c r="AQ38" s="5">
        <v>14</v>
      </c>
      <c r="AR38" s="5">
        <v>27</v>
      </c>
      <c r="AS38" s="5">
        <v>8</v>
      </c>
      <c r="AT38" s="5">
        <v>174</v>
      </c>
      <c r="AU38" s="5">
        <v>100</v>
      </c>
      <c r="AV38" s="5">
        <v>118</v>
      </c>
      <c r="AW38" s="1"/>
      <c r="AX38" s="1"/>
      <c r="AY38" t="s">
        <v>51</v>
      </c>
      <c r="AZ38" s="3">
        <v>2023</v>
      </c>
      <c r="BA38">
        <f t="shared" si="0"/>
        <v>10572</v>
      </c>
    </row>
    <row r="39" spans="1:5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3">
      <c r="A42" t="s">
        <v>52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4"/>
    </row>
    <row r="43" spans="1:5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</sheetData>
  <mergeCells count="5">
    <mergeCell ref="AX1"/>
    <mergeCell ref="AX2"/>
    <mergeCell ref="AX3"/>
    <mergeCell ref="AX4"/>
    <mergeCell ref="AX42"/>
  </mergeCells>
  <pageMargins left="0.7" right="0.7" top="0.75" bottom="0.75" header="0.3" footer="0.3"/>
  <pageSetup paperSize="9" orientation="portrait" r:id="rId1"/>
  <ignoredErrors>
    <ignoredError sqref="BA7:BA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Hernández Leyva</dc:creator>
  <cp:lastModifiedBy>Maria Isabel Hernández Leyva</cp:lastModifiedBy>
  <dcterms:created xsi:type="dcterms:W3CDTF">2026-05-16T06:28:58Z</dcterms:created>
  <dcterms:modified xsi:type="dcterms:W3CDTF">2026-05-17T09:20:07Z</dcterms:modified>
</cp:coreProperties>
</file>