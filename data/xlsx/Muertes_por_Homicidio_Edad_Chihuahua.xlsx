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be\Documents\Demografia_Proyecto_Final\data\xlsx\"/>
    </mc:Choice>
  </mc:AlternateContent>
  <bookViews>
    <workbookView xWindow="0" yWindow="0" windowWidth="20490" windowHeight="8940"/>
  </bookViews>
  <sheets>
    <sheet name="hoja" sheetId="1" r:id="rId1"/>
  </sheets>
  <calcPr calcId="162913"/>
</workbook>
</file>

<file path=xl/calcChain.xml><?xml version="1.0" encoding="utf-8"?>
<calcChain xmlns="http://schemas.openxmlformats.org/spreadsheetml/2006/main">
  <c r="N103" i="1" l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02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83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64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O4" i="1"/>
  <c r="N4" i="1"/>
  <c r="O2" i="1"/>
  <c r="N45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20" i="1"/>
  <c r="O57" i="1"/>
  <c r="O58" i="1"/>
  <c r="O59" i="1"/>
  <c r="O60" i="1"/>
  <c r="O61" i="1"/>
  <c r="O62" i="1"/>
  <c r="O63" i="1"/>
  <c r="O56" i="1"/>
  <c r="O55" i="1"/>
  <c r="O54" i="1"/>
  <c r="O53" i="1"/>
  <c r="O52" i="1"/>
  <c r="O51" i="1"/>
  <c r="O50" i="1"/>
  <c r="O49" i="1"/>
  <c r="O47" i="1"/>
  <c r="O48" i="1"/>
  <c r="O46" i="1"/>
  <c r="O45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26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N3" i="1"/>
  <c r="O42" i="1"/>
  <c r="O43" i="1"/>
  <c r="O44" i="1"/>
  <c r="O41" i="1"/>
  <c r="O40" i="1"/>
  <c r="O39" i="1"/>
  <c r="O38" i="1"/>
  <c r="O37" i="1"/>
  <c r="O36" i="1"/>
  <c r="O35" i="1"/>
  <c r="O34" i="1"/>
  <c r="O33" i="1"/>
  <c r="O32" i="1"/>
  <c r="O31" i="1"/>
  <c r="O30" i="1"/>
  <c r="O28" i="1"/>
  <c r="O29" i="1"/>
  <c r="O2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7" i="1"/>
  <c r="N2" i="1"/>
  <c r="O64" i="1" l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</calcChain>
</file>

<file path=xl/sharedStrings.xml><?xml version="1.0" encoding="utf-8"?>
<sst xmlns="http://schemas.openxmlformats.org/spreadsheetml/2006/main" count="608" uniqueCount="31">
  <si>
    <t>Defunciones por homicidios</t>
  </si>
  <si>
    <t>Ent y mun de residencia : Chihuahua</t>
  </si>
  <si>
    <t/>
  </si>
  <si>
    <t>Consulta de: Defunciones por homicidio   Por: Año de ocurrencia, Edad y Año de registro   Según: Sexo</t>
  </si>
  <si>
    <t>Hombre</t>
  </si>
  <si>
    <t>Mujer</t>
  </si>
  <si>
    <t>No especificado</t>
  </si>
  <si>
    <t>Total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</si>
  <si>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</si>
  <si>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</si>
  <si>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</si>
  <si>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</si>
  <si>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</si>
  <si>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</si>
  <si>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</si>
  <si>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</si>
  <si>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</si>
  <si>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</si>
  <si>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</si>
  <si>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</si>
  <si>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</si>
  <si>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</si>
  <si>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</si>
  <si>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</si>
  <si>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</si>
  <si>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</si>
  <si>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</si>
  <si>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</si>
  <si>
    <t>male</t>
  </si>
  <si>
    <t>female</t>
  </si>
  <si>
    <t>Sin Prorrateo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</si>
</sst>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Protection="1"/>
    <xf numFmtId="164" fontId="0" fillId="0" borderId="0" xfId="0" applyNumberFormat="1" applyFont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  <xf numFmtId="0" fontId="0" fillId="0" borderId="0" xfId="0" applyNumberFormat="1" applyFont="1" applyAlignment="1" applyProtection="1">
      <alignment horizontal="left" vertical="top"/>
    </xf>
    <xf numFmtId="3" fontId="0" fillId="0" borderId="0" xfId="0" applyNumberFormat="1" applyFont="1" applyAlignment="1" applyProtection="1">
      <alignment horizontal="left" vertical="top"/>
    </xf>
    <xf numFmtId="1" fontId="0" fillId="0" borderId="0" xfId="0" applyNumberFormat="1" applyFont="1" applyProtection="1"/>
    <xf numFmtId="3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tabSelected="1" workbookViewId="0">
      <selection activeCell="J17" sqref="J17"/>
    </sheetView>
  </sheetViews>
  <sheetFormatPr baseColWidth="10" defaultColWidth="9.140625" defaultRowHeight="15"/>
  <cols>
    <col min="2" max="2" width="17.28515625" customWidth="1"/>
    <col min="3" max="5" width="9.140625" customWidth="1"/>
    <col min="6" max="6" width="15.28515625" customWidth="1"/>
    <col min="7" max="9" width="9.140625" customWidth="1"/>
    <col min="13" max="13" width="17" customWidth="1"/>
    <col min="14" max="14" width="9.42578125" bestFit="1" customWidth="1"/>
    <col min="15" max="15" width="12.42578125" customWidth="1"/>
  </cols>
  <sheetData>
    <row r="1" spans="1:15">
      <c r="A1" t="s">
        <v>0</v>
      </c>
      <c r="B1" s="1"/>
      <c r="C1" s="1"/>
      <c r="D1" s="1"/>
      <c r="E1" s="1"/>
      <c r="F1" s="1"/>
      <c r="G1" s="1"/>
      <c r="H1" s="1"/>
      <c r="I1" s="2"/>
      <c r="N1" t="s">
        <v>28</v>
      </c>
      <c r="O1" t="s">
        <v>29</v>
      </c>
    </row>
    <row r="2" spans="1:15">
      <c r="A2" t="s">
        <v>1</v>
      </c>
      <c r="B2" s="1"/>
      <c r="C2" s="1"/>
      <c r="D2" s="1"/>
      <c r="E2" s="1"/>
      <c r="F2" s="1"/>
      <c r="G2" s="1"/>
      <c r="H2" s="1"/>
      <c r="I2" s="2"/>
      <c r="L2">
        <v>2010</v>
      </c>
      <c r="M2" t="s">
        <v>6</v>
      </c>
      <c r="N2">
        <f>SUM(D73:D77)</f>
        <v>63</v>
      </c>
      <c r="O2">
        <f>SUM(E73:E77)</f>
        <v>2</v>
      </c>
    </row>
    <row r="3" spans="1:15">
      <c r="A3" t="s">
        <v>2</v>
      </c>
      <c r="B3" s="1"/>
      <c r="C3" s="1"/>
      <c r="D3" s="1"/>
      <c r="E3" s="1"/>
      <c r="F3" s="1"/>
      <c r="G3" s="1"/>
      <c r="H3" s="1"/>
      <c r="I3" s="2"/>
      <c r="L3">
        <v>2019</v>
      </c>
      <c r="M3" t="s">
        <v>6</v>
      </c>
      <c r="N3">
        <f>D122</f>
        <v>2</v>
      </c>
      <c r="O3">
        <v>0</v>
      </c>
    </row>
    <row r="4" spans="1:15">
      <c r="A4" t="s">
        <v>3</v>
      </c>
      <c r="B4" s="1"/>
      <c r="C4" s="1"/>
      <c r="D4" s="1"/>
      <c r="E4" s="1"/>
      <c r="F4" s="1"/>
      <c r="G4" s="1"/>
      <c r="H4" s="1"/>
      <c r="I4" s="2"/>
      <c r="L4">
        <v>2021</v>
      </c>
      <c r="M4" t="s">
        <v>6</v>
      </c>
      <c r="N4">
        <f>SUM(D157)</f>
        <v>118</v>
      </c>
      <c r="O4">
        <f>SUM(E157)</f>
        <v>19</v>
      </c>
    </row>
    <row r="5" spans="1:15">
      <c r="B5" s="1"/>
      <c r="C5" s="1"/>
      <c r="D5" s="1"/>
      <c r="E5" s="1"/>
      <c r="F5" s="1"/>
      <c r="G5" s="1"/>
      <c r="H5" s="1"/>
      <c r="I5" s="1"/>
    </row>
    <row r="6" spans="1:15">
      <c r="A6" t="s">
        <v>2</v>
      </c>
      <c r="B6" s="1" t="s">
        <v>2</v>
      </c>
      <c r="C6" s="1" t="s">
        <v>2</v>
      </c>
      <c r="D6" s="1" t="s">
        <v>4</v>
      </c>
      <c r="E6" s="1" t="s">
        <v>5</v>
      </c>
      <c r="F6" s="1" t="s">
        <v>6</v>
      </c>
      <c r="G6" s="1"/>
      <c r="H6" s="1"/>
      <c r="I6" s="1"/>
      <c r="O6" t="s">
        <v>30</v>
      </c>
    </row>
    <row r="7" spans="1:15">
      <c r="A7" s="5">
        <v>2010</v>
      </c>
      <c r="B7" s="1" t="s">
        <v>7</v>
      </c>
      <c r="C7" s="3">
        <v>2010</v>
      </c>
      <c r="D7" s="4">
        <v>5520</v>
      </c>
      <c r="E7" s="3">
        <v>560</v>
      </c>
      <c r="F7" s="3">
        <v>11</v>
      </c>
      <c r="G7" s="1"/>
      <c r="H7" s="1"/>
      <c r="I7" s="1"/>
      <c r="K7">
        <v>2010</v>
      </c>
      <c r="L7" t="s">
        <v>28</v>
      </c>
      <c r="M7" s="1" t="s">
        <v>8</v>
      </c>
      <c r="N7">
        <f>O7+(O7/SUM($O$7:$O$25))*$N$2</f>
        <v>3.0335046977486262</v>
      </c>
      <c r="O7">
        <f>SUM(D16:D17)</f>
        <v>3</v>
      </c>
    </row>
    <row r="8" spans="1:15">
      <c r="A8">
        <v>2010</v>
      </c>
      <c r="B8" s="1" t="s">
        <v>7</v>
      </c>
      <c r="C8" s="3">
        <v>2011</v>
      </c>
      <c r="D8" s="3">
        <v>123</v>
      </c>
      <c r="E8" s="3">
        <v>5</v>
      </c>
      <c r="F8" s="3">
        <v>1</v>
      </c>
      <c r="G8" s="1"/>
      <c r="H8" s="1"/>
      <c r="I8" s="1"/>
      <c r="K8">
        <v>2010</v>
      </c>
      <c r="L8" t="s">
        <v>28</v>
      </c>
      <c r="M8" s="1" t="s">
        <v>9</v>
      </c>
      <c r="N8">
        <f t="shared" ref="N8:N25" si="0">O8+(O8/SUM($O$7:$O$25))*$N$2</f>
        <v>13.14518702357738</v>
      </c>
      <c r="O8">
        <f>D18</f>
        <v>13</v>
      </c>
    </row>
    <row r="9" spans="1:15">
      <c r="A9">
        <v>2010</v>
      </c>
      <c r="B9" s="1" t="s">
        <v>7</v>
      </c>
      <c r="C9" s="3">
        <v>2012</v>
      </c>
      <c r="D9" s="3">
        <v>29</v>
      </c>
      <c r="E9" s="3">
        <v>1</v>
      </c>
      <c r="F9" s="3">
        <v>1</v>
      </c>
      <c r="G9" s="1"/>
      <c r="H9" s="1"/>
      <c r="I9" s="1"/>
      <c r="K9">
        <v>2010</v>
      </c>
      <c r="L9" t="s">
        <v>28</v>
      </c>
      <c r="M9" s="1" t="s">
        <v>10</v>
      </c>
      <c r="N9">
        <f t="shared" si="0"/>
        <v>6.0670093954972524</v>
      </c>
      <c r="O9">
        <f>D19</f>
        <v>6</v>
      </c>
    </row>
    <row r="10" spans="1:15">
      <c r="A10">
        <v>2010</v>
      </c>
      <c r="B10" s="1" t="s">
        <v>7</v>
      </c>
      <c r="C10" s="3">
        <v>2013</v>
      </c>
      <c r="D10" s="3">
        <v>18</v>
      </c>
      <c r="E10" s="3">
        <v>1</v>
      </c>
      <c r="F10" s="1" t="s">
        <v>2</v>
      </c>
      <c r="G10" s="1"/>
      <c r="H10" s="1"/>
      <c r="I10" s="1"/>
      <c r="K10">
        <v>2010</v>
      </c>
      <c r="L10" t="s">
        <v>28</v>
      </c>
      <c r="M10" s="1" t="s">
        <v>11</v>
      </c>
      <c r="N10">
        <f t="shared" si="0"/>
        <v>37.413224605566391</v>
      </c>
      <c r="O10">
        <f>SUM(D20:D22)</f>
        <v>37</v>
      </c>
    </row>
    <row r="11" spans="1:15">
      <c r="A11">
        <v>2010</v>
      </c>
      <c r="B11" s="1" t="s">
        <v>7</v>
      </c>
      <c r="C11" s="3">
        <v>2014</v>
      </c>
      <c r="D11" s="3">
        <v>3</v>
      </c>
      <c r="E11" s="1" t="s">
        <v>2</v>
      </c>
      <c r="F11" s="1" t="s">
        <v>2</v>
      </c>
      <c r="G11" s="1"/>
      <c r="H11" s="1"/>
      <c r="I11" s="1"/>
      <c r="K11">
        <v>2010</v>
      </c>
      <c r="L11" t="s">
        <v>28</v>
      </c>
      <c r="M11" s="1" t="s">
        <v>12</v>
      </c>
      <c r="N11">
        <f t="shared" si="0"/>
        <v>542.99734089700405</v>
      </c>
      <c r="O11">
        <f>SUM(D23:D29)</f>
        <v>537</v>
      </c>
    </row>
    <row r="12" spans="1:15">
      <c r="A12">
        <v>2010</v>
      </c>
      <c r="B12" s="1" t="s">
        <v>7</v>
      </c>
      <c r="C12" s="3">
        <v>2015</v>
      </c>
      <c r="D12" s="3">
        <v>7</v>
      </c>
      <c r="E12" s="3">
        <v>1</v>
      </c>
      <c r="F12" s="1" t="s">
        <v>2</v>
      </c>
      <c r="G12" s="1"/>
      <c r="H12" s="1"/>
      <c r="I12" s="1"/>
      <c r="K12">
        <v>2010</v>
      </c>
      <c r="L12" t="s">
        <v>28</v>
      </c>
      <c r="M12" s="1" t="s">
        <v>13</v>
      </c>
      <c r="N12">
        <f t="shared" si="0"/>
        <v>970.72150327956035</v>
      </c>
      <c r="O12">
        <f>SUM(D30:D34)</f>
        <v>960</v>
      </c>
    </row>
    <row r="13" spans="1:15">
      <c r="A13">
        <v>2010</v>
      </c>
      <c r="B13" s="1" t="s">
        <v>7</v>
      </c>
      <c r="C13" s="3">
        <v>2016</v>
      </c>
      <c r="D13" s="3">
        <v>1</v>
      </c>
      <c r="E13" s="3">
        <v>1</v>
      </c>
      <c r="F13" s="1" t="s">
        <v>2</v>
      </c>
      <c r="G13" s="1"/>
      <c r="H13" s="1"/>
      <c r="I13" s="1"/>
      <c r="K13">
        <v>2010</v>
      </c>
      <c r="L13" t="s">
        <v>28</v>
      </c>
      <c r="M13" s="1" t="s">
        <v>14</v>
      </c>
      <c r="N13">
        <f t="shared" si="0"/>
        <v>1049.5926254210246</v>
      </c>
      <c r="O13" s="6">
        <f>SUM(D35:D41)</f>
        <v>1038</v>
      </c>
    </row>
    <row r="14" spans="1:15">
      <c r="A14">
        <v>2010</v>
      </c>
      <c r="B14" s="1" t="s">
        <v>7</v>
      </c>
      <c r="C14" s="3">
        <v>2022</v>
      </c>
      <c r="D14" s="3">
        <v>2</v>
      </c>
      <c r="E14" s="3">
        <v>1</v>
      </c>
      <c r="F14" s="1" t="s">
        <v>2</v>
      </c>
      <c r="G14" s="1"/>
      <c r="H14" s="1"/>
      <c r="I14" s="1"/>
      <c r="K14">
        <v>2010</v>
      </c>
      <c r="L14" t="s">
        <v>28</v>
      </c>
      <c r="M14" s="1" t="s">
        <v>15</v>
      </c>
      <c r="N14">
        <f t="shared" si="0"/>
        <v>1062.737812444602</v>
      </c>
      <c r="O14" s="6">
        <f>SUM(D42:D43)</f>
        <v>1051</v>
      </c>
    </row>
    <row r="15" spans="1:15">
      <c r="A15">
        <v>2010</v>
      </c>
      <c r="B15" s="1" t="s">
        <v>7</v>
      </c>
      <c r="C15" s="3">
        <v>2024</v>
      </c>
      <c r="D15" s="3">
        <v>1</v>
      </c>
      <c r="E15" s="3">
        <v>1</v>
      </c>
      <c r="F15" s="1" t="s">
        <v>2</v>
      </c>
      <c r="G15" s="1"/>
      <c r="H15" s="1"/>
      <c r="I15" s="1"/>
      <c r="K15">
        <v>2010</v>
      </c>
      <c r="L15" t="s">
        <v>28</v>
      </c>
      <c r="M15" s="1" t="s">
        <v>16</v>
      </c>
      <c r="N15">
        <f t="shared" si="0"/>
        <v>790.73355787980859</v>
      </c>
      <c r="O15">
        <f>SUM(D44:D47)</f>
        <v>782</v>
      </c>
    </row>
    <row r="16" spans="1:15">
      <c r="A16">
        <v>2010</v>
      </c>
      <c r="B16" s="1" t="s">
        <v>8</v>
      </c>
      <c r="C16" s="3">
        <v>2010</v>
      </c>
      <c r="D16" s="3">
        <v>2</v>
      </c>
      <c r="E16" s="3">
        <v>2</v>
      </c>
      <c r="F16" s="1" t="s">
        <v>2</v>
      </c>
      <c r="G16" s="1"/>
      <c r="H16" s="1"/>
      <c r="I16" s="1"/>
      <c r="K16">
        <v>2010</v>
      </c>
      <c r="L16" t="s">
        <v>28</v>
      </c>
      <c r="M16" s="1" t="s">
        <v>17</v>
      </c>
      <c r="N16">
        <f t="shared" si="0"/>
        <v>495.47243396560896</v>
      </c>
      <c r="O16">
        <f>SUM(D48:D53)</f>
        <v>490</v>
      </c>
    </row>
    <row r="17" spans="1:15">
      <c r="A17">
        <v>2010</v>
      </c>
      <c r="B17" s="1" t="s">
        <v>8</v>
      </c>
      <c r="C17" s="3">
        <v>2012</v>
      </c>
      <c r="D17" s="3">
        <v>1</v>
      </c>
      <c r="E17" s="1" t="s">
        <v>2</v>
      </c>
      <c r="F17" s="1" t="s">
        <v>2</v>
      </c>
      <c r="G17" s="1"/>
      <c r="H17" s="1"/>
      <c r="I17" s="1"/>
      <c r="K17">
        <v>2010</v>
      </c>
      <c r="L17" t="s">
        <v>28</v>
      </c>
      <c r="M17" s="1" t="s">
        <v>18</v>
      </c>
      <c r="N17">
        <f t="shared" si="0"/>
        <v>309.41747917035985</v>
      </c>
      <c r="O17">
        <f>SUM(D54:D57)</f>
        <v>306</v>
      </c>
    </row>
    <row r="18" spans="1:15">
      <c r="A18">
        <v>2010</v>
      </c>
      <c r="B18" s="1" t="s">
        <v>9</v>
      </c>
      <c r="C18" s="3">
        <v>2010</v>
      </c>
      <c r="D18" s="3">
        <v>13</v>
      </c>
      <c r="E18" s="3">
        <v>5</v>
      </c>
      <c r="F18" s="1" t="s">
        <v>2</v>
      </c>
      <c r="G18" s="1"/>
      <c r="H18" s="1"/>
      <c r="I18" s="1"/>
      <c r="K18">
        <v>2010</v>
      </c>
      <c r="L18" t="s">
        <v>28</v>
      </c>
      <c r="M18" s="1" t="s">
        <v>19</v>
      </c>
      <c r="N18">
        <f t="shared" si="0"/>
        <v>178.97677716716893</v>
      </c>
      <c r="O18">
        <f>SUM(D58:D60)</f>
        <v>177</v>
      </c>
    </row>
    <row r="19" spans="1:15">
      <c r="A19">
        <v>2010</v>
      </c>
      <c r="B19" s="1" t="s">
        <v>10</v>
      </c>
      <c r="C19" s="3">
        <v>2010</v>
      </c>
      <c r="D19" s="3">
        <v>6</v>
      </c>
      <c r="E19" s="3">
        <v>6</v>
      </c>
      <c r="F19" s="1" t="s">
        <v>2</v>
      </c>
      <c r="G19" s="1"/>
      <c r="H19" s="1"/>
      <c r="I19" s="1"/>
      <c r="K19">
        <v>2010</v>
      </c>
      <c r="L19" t="s">
        <v>28</v>
      </c>
      <c r="M19" s="1" t="s">
        <v>20</v>
      </c>
      <c r="N19">
        <f t="shared" si="0"/>
        <v>91.005140932458787</v>
      </c>
      <c r="O19">
        <f>SUM(D61:D62)</f>
        <v>90</v>
      </c>
    </row>
    <row r="20" spans="1:15">
      <c r="A20">
        <v>2010</v>
      </c>
      <c r="B20" s="1" t="s">
        <v>11</v>
      </c>
      <c r="C20" s="3">
        <v>2010</v>
      </c>
      <c r="D20" s="3">
        <v>35</v>
      </c>
      <c r="E20" s="3">
        <v>16</v>
      </c>
      <c r="F20" s="3">
        <v>1</v>
      </c>
      <c r="G20" s="1"/>
      <c r="H20" s="1"/>
      <c r="I20" s="1"/>
      <c r="K20">
        <v>2010</v>
      </c>
      <c r="L20" t="s">
        <v>28</v>
      </c>
      <c r="M20" s="1" t="s">
        <v>21</v>
      </c>
      <c r="N20">
        <f t="shared" si="0"/>
        <v>49.547243396560894</v>
      </c>
      <c r="O20">
        <f>SUM(D63:D65)</f>
        <v>49</v>
      </c>
    </row>
    <row r="21" spans="1:15">
      <c r="A21">
        <v>2010</v>
      </c>
      <c r="B21" s="1" t="s">
        <v>11</v>
      </c>
      <c r="C21" s="3">
        <v>2011</v>
      </c>
      <c r="D21" s="3">
        <v>1</v>
      </c>
      <c r="E21" s="1" t="s">
        <v>2</v>
      </c>
      <c r="F21" s="1" t="s">
        <v>2</v>
      </c>
      <c r="G21" s="1"/>
      <c r="H21" s="1"/>
      <c r="I21" s="1"/>
      <c r="K21">
        <v>2010</v>
      </c>
      <c r="L21" t="s">
        <v>28</v>
      </c>
      <c r="M21" s="1" t="s">
        <v>22</v>
      </c>
      <c r="N21">
        <f t="shared" si="0"/>
        <v>44.491402233646518</v>
      </c>
      <c r="O21">
        <f>D66</f>
        <v>44</v>
      </c>
    </row>
    <row r="22" spans="1:15">
      <c r="A22">
        <v>2010</v>
      </c>
      <c r="B22" s="1" t="s">
        <v>11</v>
      </c>
      <c r="C22" s="3">
        <v>2012</v>
      </c>
      <c r="D22" s="3">
        <v>1</v>
      </c>
      <c r="E22" s="1" t="s">
        <v>2</v>
      </c>
      <c r="F22" s="1" t="s">
        <v>2</v>
      </c>
      <c r="G22" s="1"/>
      <c r="H22" s="1"/>
      <c r="I22" s="1"/>
      <c r="K22">
        <v>2010</v>
      </c>
      <c r="L22" t="s">
        <v>28</v>
      </c>
      <c r="M22" s="1" t="s">
        <v>23</v>
      </c>
      <c r="N22">
        <f t="shared" si="0"/>
        <v>26.29037404715476</v>
      </c>
      <c r="O22">
        <f>SUM(D67:D68)</f>
        <v>26</v>
      </c>
    </row>
    <row r="23" spans="1:15">
      <c r="A23">
        <v>2010</v>
      </c>
      <c r="B23" s="1" t="s">
        <v>12</v>
      </c>
      <c r="C23" s="3">
        <v>2010</v>
      </c>
      <c r="D23" s="3">
        <v>527</v>
      </c>
      <c r="E23" s="3">
        <v>64</v>
      </c>
      <c r="F23" s="3">
        <v>1</v>
      </c>
      <c r="G23" s="1"/>
      <c r="H23" s="1"/>
      <c r="I23" s="1"/>
      <c r="K23">
        <v>2010</v>
      </c>
      <c r="L23" t="s">
        <v>28</v>
      </c>
      <c r="M23" s="1" t="s">
        <v>24</v>
      </c>
      <c r="N23">
        <f t="shared" si="0"/>
        <v>12.134018790994505</v>
      </c>
      <c r="O23">
        <f>SUM(D69)</f>
        <v>12</v>
      </c>
    </row>
    <row r="24" spans="1:15">
      <c r="A24">
        <v>2010</v>
      </c>
      <c r="B24" s="1" t="s">
        <v>12</v>
      </c>
      <c r="C24" s="3">
        <v>2011</v>
      </c>
      <c r="D24" s="3">
        <v>6</v>
      </c>
      <c r="E24" s="3">
        <v>2</v>
      </c>
      <c r="F24" s="1" t="s">
        <v>2</v>
      </c>
      <c r="G24" s="1"/>
      <c r="H24" s="1"/>
      <c r="I24" s="1"/>
      <c r="K24">
        <v>2010</v>
      </c>
      <c r="L24" t="s">
        <v>28</v>
      </c>
      <c r="M24" s="1" t="s">
        <v>25</v>
      </c>
      <c r="N24">
        <f t="shared" si="0"/>
        <v>4.0446729303315019</v>
      </c>
      <c r="O24">
        <f>D70</f>
        <v>4</v>
      </c>
    </row>
    <row r="25" spans="1:15">
      <c r="A25">
        <v>2010</v>
      </c>
      <c r="B25" s="1" t="s">
        <v>12</v>
      </c>
      <c r="C25" s="3">
        <v>2012</v>
      </c>
      <c r="D25" s="3">
        <v>1</v>
      </c>
      <c r="E25" s="3">
        <v>1</v>
      </c>
      <c r="F25" s="1" t="s">
        <v>2</v>
      </c>
      <c r="G25" s="1"/>
      <c r="H25" s="1"/>
      <c r="I25" s="1"/>
      <c r="K25">
        <v>2010</v>
      </c>
      <c r="L25" t="s">
        <v>28</v>
      </c>
      <c r="M25" s="1" t="s">
        <v>26</v>
      </c>
      <c r="N25">
        <f t="shared" si="0"/>
        <v>16.178691721326008</v>
      </c>
      <c r="O25">
        <f>SUM(D71:D72)</f>
        <v>16</v>
      </c>
    </row>
    <row r="26" spans="1:15">
      <c r="A26">
        <v>2010</v>
      </c>
      <c r="B26" s="1" t="s">
        <v>12</v>
      </c>
      <c r="C26" s="3">
        <v>2013</v>
      </c>
      <c r="D26" s="3">
        <v>1</v>
      </c>
      <c r="E26" s="1" t="s">
        <v>2</v>
      </c>
      <c r="F26" s="1" t="s">
        <v>2</v>
      </c>
      <c r="G26" s="1"/>
      <c r="H26" s="1"/>
      <c r="I26" s="1"/>
      <c r="K26">
        <v>2019</v>
      </c>
      <c r="L26" t="s">
        <v>28</v>
      </c>
      <c r="M26" s="1" t="s">
        <v>8</v>
      </c>
      <c r="N26">
        <f>O26+(O26/SUM($O$26:$O$44))*$N$3</f>
        <v>0</v>
      </c>
      <c r="O26">
        <v>0</v>
      </c>
    </row>
    <row r="27" spans="1:15">
      <c r="A27">
        <v>2010</v>
      </c>
      <c r="B27" s="1" t="s">
        <v>12</v>
      </c>
      <c r="C27" s="3">
        <v>2015</v>
      </c>
      <c r="D27" s="3">
        <v>1</v>
      </c>
      <c r="E27" s="1" t="s">
        <v>2</v>
      </c>
      <c r="F27" s="1" t="s">
        <v>2</v>
      </c>
      <c r="G27" s="1"/>
      <c r="H27" s="1"/>
      <c r="I27" s="1"/>
      <c r="K27">
        <v>2019</v>
      </c>
      <c r="L27" t="s">
        <v>28</v>
      </c>
      <c r="M27" s="1" t="s">
        <v>9</v>
      </c>
      <c r="N27">
        <f t="shared" ref="N27:N46" si="1">O27+(O27/SUM($O$26:$O$44))*$N$3</f>
        <v>2.0019665683382497</v>
      </c>
      <c r="O27">
        <f>SUM(D84)</f>
        <v>2</v>
      </c>
    </row>
    <row r="28" spans="1:15">
      <c r="A28">
        <v>2010</v>
      </c>
      <c r="B28" s="1" t="s">
        <v>12</v>
      </c>
      <c r="C28" s="3">
        <v>2016</v>
      </c>
      <c r="D28" s="3">
        <v>1</v>
      </c>
      <c r="E28" s="3">
        <v>1</v>
      </c>
      <c r="F28" s="1" t="s">
        <v>2</v>
      </c>
      <c r="G28" s="1"/>
      <c r="H28" s="1"/>
      <c r="I28" s="1"/>
      <c r="K28">
        <v>2019</v>
      </c>
      <c r="L28" t="s">
        <v>28</v>
      </c>
      <c r="M28" s="1" t="s">
        <v>10</v>
      </c>
      <c r="N28">
        <f t="shared" si="1"/>
        <v>2.0019665683382497</v>
      </c>
      <c r="O28">
        <f>SUM(D85)</f>
        <v>2</v>
      </c>
    </row>
    <row r="29" spans="1:15">
      <c r="A29">
        <v>2010</v>
      </c>
      <c r="B29" s="1" t="s">
        <v>12</v>
      </c>
      <c r="C29" s="3">
        <v>2022</v>
      </c>
      <c r="D29" s="1" t="s">
        <v>2</v>
      </c>
      <c r="E29" s="3">
        <v>1</v>
      </c>
      <c r="F29" s="1" t="s">
        <v>2</v>
      </c>
      <c r="G29" s="1"/>
      <c r="H29" s="1"/>
      <c r="I29" s="1"/>
      <c r="K29">
        <v>2019</v>
      </c>
      <c r="L29" t="s">
        <v>28</v>
      </c>
      <c r="M29" s="1" t="s">
        <v>11</v>
      </c>
      <c r="N29">
        <f t="shared" si="1"/>
        <v>6.0058997050147491</v>
      </c>
      <c r="O29">
        <f>SUM(D86)</f>
        <v>6</v>
      </c>
    </row>
    <row r="30" spans="1:15">
      <c r="A30">
        <v>2010</v>
      </c>
      <c r="B30" s="1" t="s">
        <v>13</v>
      </c>
      <c r="C30" s="3">
        <v>2010</v>
      </c>
      <c r="D30" s="3">
        <v>934</v>
      </c>
      <c r="E30" s="3">
        <v>96</v>
      </c>
      <c r="F30" s="1" t="s">
        <v>2</v>
      </c>
      <c r="G30" s="1"/>
      <c r="H30" s="1"/>
      <c r="I30" s="1"/>
      <c r="K30">
        <v>2019</v>
      </c>
      <c r="L30" t="s">
        <v>28</v>
      </c>
      <c r="M30" s="1" t="s">
        <v>12</v>
      </c>
      <c r="N30">
        <f t="shared" si="1"/>
        <v>168.16519174041298</v>
      </c>
      <c r="O30">
        <f>SUM(D87:D89)</f>
        <v>168</v>
      </c>
    </row>
    <row r="31" spans="1:15">
      <c r="A31">
        <v>2010</v>
      </c>
      <c r="B31" s="1" t="s">
        <v>13</v>
      </c>
      <c r="C31" s="3">
        <v>2011</v>
      </c>
      <c r="D31" s="3">
        <v>19</v>
      </c>
      <c r="E31" s="1" t="s">
        <v>2</v>
      </c>
      <c r="F31" s="1" t="s">
        <v>2</v>
      </c>
      <c r="G31" s="1"/>
      <c r="H31" s="1"/>
      <c r="I31" s="1"/>
      <c r="K31">
        <v>2019</v>
      </c>
      <c r="L31" t="s">
        <v>28</v>
      </c>
      <c r="M31" s="1" t="s">
        <v>13</v>
      </c>
      <c r="N31">
        <f t="shared" si="1"/>
        <v>368.36184857423797</v>
      </c>
      <c r="O31">
        <f>SUM(D90:D93)</f>
        <v>368</v>
      </c>
    </row>
    <row r="32" spans="1:15">
      <c r="A32">
        <v>2010</v>
      </c>
      <c r="B32" s="1" t="s">
        <v>13</v>
      </c>
      <c r="C32" s="3">
        <v>2012</v>
      </c>
      <c r="D32" s="3">
        <v>4</v>
      </c>
      <c r="E32" s="1" t="s">
        <v>2</v>
      </c>
      <c r="F32" s="1" t="s">
        <v>2</v>
      </c>
      <c r="G32" s="1"/>
      <c r="H32" s="1"/>
      <c r="I32" s="1"/>
      <c r="K32">
        <v>2019</v>
      </c>
      <c r="L32" t="s">
        <v>28</v>
      </c>
      <c r="M32" s="1" t="s">
        <v>14</v>
      </c>
      <c r="N32">
        <f t="shared" si="1"/>
        <v>341.33529990167159</v>
      </c>
      <c r="O32">
        <f>SUM(D94:D97)</f>
        <v>341</v>
      </c>
    </row>
    <row r="33" spans="1:15">
      <c r="A33">
        <v>2010</v>
      </c>
      <c r="B33" s="1" t="s">
        <v>13</v>
      </c>
      <c r="C33" s="3">
        <v>2014</v>
      </c>
      <c r="D33" s="3">
        <v>1</v>
      </c>
      <c r="E33" s="1" t="s">
        <v>2</v>
      </c>
      <c r="F33" s="1" t="s">
        <v>2</v>
      </c>
      <c r="G33" s="1"/>
      <c r="H33" s="1"/>
      <c r="I33" s="1"/>
      <c r="K33">
        <v>2019</v>
      </c>
      <c r="L33" t="s">
        <v>28</v>
      </c>
      <c r="M33" s="1" t="s">
        <v>15</v>
      </c>
      <c r="N33">
        <f t="shared" si="1"/>
        <v>314.30875122910521</v>
      </c>
      <c r="O33">
        <f>SUM(D98:D101)</f>
        <v>314</v>
      </c>
    </row>
    <row r="34" spans="1:15">
      <c r="A34">
        <v>2010</v>
      </c>
      <c r="B34" s="1" t="s">
        <v>13</v>
      </c>
      <c r="C34" s="3">
        <v>2015</v>
      </c>
      <c r="D34" s="3">
        <v>2</v>
      </c>
      <c r="E34" s="1" t="s">
        <v>2</v>
      </c>
      <c r="F34" s="1" t="s">
        <v>2</v>
      </c>
      <c r="G34" s="1"/>
      <c r="H34" s="1"/>
      <c r="I34" s="1"/>
      <c r="K34">
        <v>2019</v>
      </c>
      <c r="L34" t="s">
        <v>28</v>
      </c>
      <c r="M34" s="1" t="s">
        <v>16</v>
      </c>
      <c r="N34">
        <f t="shared" si="1"/>
        <v>255.25073746312685</v>
      </c>
      <c r="O34">
        <f>SUM(D102:D105)</f>
        <v>255</v>
      </c>
    </row>
    <row r="35" spans="1:15">
      <c r="A35">
        <v>2010</v>
      </c>
      <c r="B35" s="1" t="s">
        <v>14</v>
      </c>
      <c r="C35" s="3">
        <v>2010</v>
      </c>
      <c r="D35" s="4">
        <v>1009</v>
      </c>
      <c r="E35" s="3">
        <v>97</v>
      </c>
      <c r="F35" s="3">
        <v>1</v>
      </c>
      <c r="G35" s="1"/>
      <c r="H35" s="1"/>
      <c r="I35" s="1"/>
      <c r="K35">
        <v>2019</v>
      </c>
      <c r="L35" t="s">
        <v>28</v>
      </c>
      <c r="M35" s="1" t="s">
        <v>17</v>
      </c>
      <c r="N35">
        <f t="shared" si="1"/>
        <v>228.22418879056048</v>
      </c>
      <c r="O35">
        <f>SUM(D106:D109)</f>
        <v>228</v>
      </c>
    </row>
    <row r="36" spans="1:15">
      <c r="A36">
        <v>2010</v>
      </c>
      <c r="B36" s="1" t="s">
        <v>14</v>
      </c>
      <c r="C36" s="3">
        <v>2011</v>
      </c>
      <c r="D36" s="3">
        <v>23</v>
      </c>
      <c r="E36" s="3">
        <v>2</v>
      </c>
      <c r="F36" s="1" t="s">
        <v>2</v>
      </c>
      <c r="G36" s="1"/>
      <c r="H36" s="1"/>
      <c r="I36" s="1"/>
      <c r="K36">
        <v>2019</v>
      </c>
      <c r="L36" t="s">
        <v>28</v>
      </c>
      <c r="M36" s="1" t="s">
        <v>18</v>
      </c>
      <c r="N36">
        <f t="shared" si="1"/>
        <v>148.14552605703048</v>
      </c>
      <c r="O36">
        <f>SUM(D110:D111)</f>
        <v>148</v>
      </c>
    </row>
    <row r="37" spans="1:15">
      <c r="A37">
        <v>2010</v>
      </c>
      <c r="B37" s="1" t="s">
        <v>14</v>
      </c>
      <c r="C37" s="3">
        <v>2012</v>
      </c>
      <c r="D37" s="3">
        <v>1</v>
      </c>
      <c r="E37" s="1" t="s">
        <v>2</v>
      </c>
      <c r="F37" s="1" t="s">
        <v>2</v>
      </c>
      <c r="G37" s="1"/>
      <c r="H37" s="1"/>
      <c r="I37" s="1"/>
      <c r="K37">
        <v>2019</v>
      </c>
      <c r="L37" t="s">
        <v>28</v>
      </c>
      <c r="M37" s="1" t="s">
        <v>19</v>
      </c>
      <c r="N37">
        <f t="shared" si="1"/>
        <v>96.094395280235986</v>
      </c>
      <c r="O37">
        <f>D112</f>
        <v>96</v>
      </c>
    </row>
    <row r="38" spans="1:15">
      <c r="A38">
        <v>2010</v>
      </c>
      <c r="B38" s="1" t="s">
        <v>14</v>
      </c>
      <c r="C38" s="3">
        <v>2013</v>
      </c>
      <c r="D38" s="3">
        <v>2</v>
      </c>
      <c r="E38" s="3">
        <v>1</v>
      </c>
      <c r="F38" s="1" t="s">
        <v>2</v>
      </c>
      <c r="G38" s="1"/>
      <c r="H38" s="1"/>
      <c r="I38" s="1"/>
      <c r="K38">
        <v>2019</v>
      </c>
      <c r="L38" t="s">
        <v>28</v>
      </c>
      <c r="M38" s="1" t="s">
        <v>20</v>
      </c>
      <c r="N38">
        <f t="shared" si="1"/>
        <v>44.043264503441492</v>
      </c>
      <c r="O38">
        <f>SUM(D113:D114)</f>
        <v>44</v>
      </c>
    </row>
    <row r="39" spans="1:15">
      <c r="A39">
        <v>2010</v>
      </c>
      <c r="B39" s="1" t="s">
        <v>14</v>
      </c>
      <c r="C39" s="3">
        <v>2014</v>
      </c>
      <c r="D39" s="3">
        <v>1</v>
      </c>
      <c r="E39" s="1" t="s">
        <v>2</v>
      </c>
      <c r="F39" s="1" t="s">
        <v>2</v>
      </c>
      <c r="G39" s="1"/>
      <c r="H39" s="1"/>
      <c r="I39" s="1"/>
      <c r="K39">
        <v>2019</v>
      </c>
      <c r="L39" t="s">
        <v>28</v>
      </c>
      <c r="M39" s="1" t="s">
        <v>21</v>
      </c>
      <c r="N39">
        <f t="shared" si="1"/>
        <v>29.028515240904621</v>
      </c>
      <c r="O39">
        <f>D115</f>
        <v>29</v>
      </c>
    </row>
    <row r="40" spans="1:15">
      <c r="A40">
        <v>2010</v>
      </c>
      <c r="B40" s="1" t="s">
        <v>14</v>
      </c>
      <c r="C40" s="3">
        <v>2022</v>
      </c>
      <c r="D40" s="3">
        <v>1</v>
      </c>
      <c r="E40" s="1" t="s">
        <v>2</v>
      </c>
      <c r="F40" s="1" t="s">
        <v>2</v>
      </c>
      <c r="G40" s="1"/>
      <c r="H40" s="1"/>
      <c r="I40" s="1"/>
      <c r="K40">
        <v>2019</v>
      </c>
      <c r="L40" t="s">
        <v>28</v>
      </c>
      <c r="M40" s="1" t="s">
        <v>22</v>
      </c>
      <c r="N40">
        <f t="shared" si="1"/>
        <v>16.015732546705998</v>
      </c>
      <c r="O40">
        <f>SUM(D116:D117)</f>
        <v>16</v>
      </c>
    </row>
    <row r="41" spans="1:15">
      <c r="A41">
        <v>2010</v>
      </c>
      <c r="B41" s="1" t="s">
        <v>14</v>
      </c>
      <c r="C41" s="3">
        <v>2024</v>
      </c>
      <c r="D41" s="3">
        <v>1</v>
      </c>
      <c r="E41" s="3">
        <v>1</v>
      </c>
      <c r="F41" s="1" t="s">
        <v>2</v>
      </c>
      <c r="G41" s="1"/>
      <c r="H41" s="1"/>
      <c r="I41" s="1"/>
      <c r="K41">
        <v>2019</v>
      </c>
      <c r="L41" t="s">
        <v>28</v>
      </c>
      <c r="M41" s="1" t="s">
        <v>23</v>
      </c>
      <c r="N41">
        <f t="shared" si="1"/>
        <v>8.0078662733529988</v>
      </c>
      <c r="O41">
        <f>D118</f>
        <v>8</v>
      </c>
    </row>
    <row r="42" spans="1:15">
      <c r="A42">
        <v>2010</v>
      </c>
      <c r="B42" s="1" t="s">
        <v>15</v>
      </c>
      <c r="C42" s="3">
        <v>2010</v>
      </c>
      <c r="D42" s="4">
        <v>1036</v>
      </c>
      <c r="E42" s="3">
        <v>92</v>
      </c>
      <c r="F42" s="3">
        <v>2</v>
      </c>
      <c r="G42" s="1"/>
      <c r="H42" s="1"/>
      <c r="I42" s="1"/>
      <c r="K42">
        <v>2019</v>
      </c>
      <c r="L42" t="s">
        <v>28</v>
      </c>
      <c r="M42" s="1" t="s">
        <v>24</v>
      </c>
      <c r="N42">
        <f t="shared" si="1"/>
        <v>6.0058997050147491</v>
      </c>
      <c r="O42">
        <f>D119</f>
        <v>6</v>
      </c>
    </row>
    <row r="43" spans="1:15">
      <c r="A43">
        <v>2010</v>
      </c>
      <c r="B43" s="1" t="s">
        <v>15</v>
      </c>
      <c r="C43" s="3">
        <v>2011</v>
      </c>
      <c r="D43" s="3">
        <v>15</v>
      </c>
      <c r="E43" s="3">
        <v>1</v>
      </c>
      <c r="F43" s="1" t="s">
        <v>2</v>
      </c>
      <c r="G43" s="1"/>
      <c r="H43" s="1"/>
      <c r="I43" s="1"/>
      <c r="K43">
        <v>2019</v>
      </c>
      <c r="L43" t="s">
        <v>28</v>
      </c>
      <c r="M43" s="1" t="s">
        <v>25</v>
      </c>
      <c r="N43">
        <f t="shared" si="1"/>
        <v>2.0019665683382497</v>
      </c>
      <c r="O43">
        <f>D120</f>
        <v>2</v>
      </c>
    </row>
    <row r="44" spans="1:15">
      <c r="A44">
        <v>2010</v>
      </c>
      <c r="B44" s="1" t="s">
        <v>16</v>
      </c>
      <c r="C44" s="3">
        <v>2010</v>
      </c>
      <c r="D44" s="3">
        <v>766</v>
      </c>
      <c r="E44" s="3">
        <v>51</v>
      </c>
      <c r="F44" s="3">
        <v>1</v>
      </c>
      <c r="G44" s="1"/>
      <c r="H44" s="1"/>
      <c r="I44" s="1"/>
      <c r="K44">
        <v>2019</v>
      </c>
      <c r="L44" t="s">
        <v>28</v>
      </c>
      <c r="M44" s="1" t="s">
        <v>26</v>
      </c>
      <c r="N44">
        <f t="shared" si="1"/>
        <v>1.0009832841691249</v>
      </c>
      <c r="O44">
        <f>D121</f>
        <v>1</v>
      </c>
    </row>
    <row r="45" spans="1:15">
      <c r="A45">
        <v>2010</v>
      </c>
      <c r="B45" s="1" t="s">
        <v>16</v>
      </c>
      <c r="C45" s="3">
        <v>2011</v>
      </c>
      <c r="D45" s="3">
        <v>13</v>
      </c>
      <c r="E45" s="1" t="s">
        <v>2</v>
      </c>
      <c r="F45" s="1" t="s">
        <v>2</v>
      </c>
      <c r="G45" s="1"/>
      <c r="H45" s="1"/>
      <c r="I45" s="1"/>
      <c r="K45">
        <v>2021</v>
      </c>
      <c r="L45" t="s">
        <v>28</v>
      </c>
      <c r="M45" s="1" t="s">
        <v>8</v>
      </c>
      <c r="N45">
        <f>O45+(O45/SUM($O$45:$O$63))*$N$4</f>
        <v>1.0551917680074836</v>
      </c>
      <c r="O45">
        <f>SUM(D127)</f>
        <v>1</v>
      </c>
    </row>
    <row r="46" spans="1:15">
      <c r="A46">
        <v>2010</v>
      </c>
      <c r="B46" s="1" t="s">
        <v>16</v>
      </c>
      <c r="C46" s="3">
        <v>2012</v>
      </c>
      <c r="D46" s="3">
        <v>2</v>
      </c>
      <c r="E46" s="1" t="s">
        <v>2</v>
      </c>
      <c r="F46" s="1" t="s">
        <v>2</v>
      </c>
      <c r="G46" s="1"/>
      <c r="H46" s="1"/>
      <c r="I46" s="1"/>
      <c r="K46">
        <v>2021</v>
      </c>
      <c r="L46" t="s">
        <v>28</v>
      </c>
      <c r="M46" s="1" t="s">
        <v>9</v>
      </c>
      <c r="N46">
        <f t="shared" ref="N46:N63" si="2">O46+(O46/SUM($O$45:$O$63))*$N$4</f>
        <v>2.1103835360149672</v>
      </c>
      <c r="O46">
        <f>D128</f>
        <v>2</v>
      </c>
    </row>
    <row r="47" spans="1:15">
      <c r="A47">
        <v>2010</v>
      </c>
      <c r="B47" s="1" t="s">
        <v>16</v>
      </c>
      <c r="C47" s="3">
        <v>2013</v>
      </c>
      <c r="D47" s="3">
        <v>1</v>
      </c>
      <c r="E47" s="1" t="s">
        <v>2</v>
      </c>
      <c r="F47" s="1" t="s">
        <v>2</v>
      </c>
      <c r="G47" s="1"/>
      <c r="H47" s="1"/>
      <c r="I47" s="1"/>
      <c r="K47">
        <v>2021</v>
      </c>
      <c r="L47" t="s">
        <v>28</v>
      </c>
      <c r="M47" s="1" t="s">
        <v>10</v>
      </c>
      <c r="N47">
        <f t="shared" si="2"/>
        <v>3.1655753040224508</v>
      </c>
      <c r="O47">
        <f t="shared" ref="O47:P48" si="3">D129</f>
        <v>3</v>
      </c>
    </row>
    <row r="48" spans="1:15">
      <c r="A48">
        <v>2010</v>
      </c>
      <c r="B48" s="1" t="s">
        <v>17</v>
      </c>
      <c r="C48" s="3">
        <v>2010</v>
      </c>
      <c r="D48" s="3">
        <v>475</v>
      </c>
      <c r="E48" s="3">
        <v>46</v>
      </c>
      <c r="F48" s="3">
        <v>1</v>
      </c>
      <c r="G48" s="1"/>
      <c r="H48" s="1"/>
      <c r="I48" s="1"/>
      <c r="K48">
        <v>2021</v>
      </c>
      <c r="L48" t="s">
        <v>28</v>
      </c>
      <c r="M48" s="1" t="s">
        <v>11</v>
      </c>
      <c r="N48">
        <f t="shared" si="2"/>
        <v>8.4415341440598688</v>
      </c>
      <c r="O48">
        <f t="shared" si="3"/>
        <v>8</v>
      </c>
    </row>
    <row r="49" spans="1:15">
      <c r="A49">
        <v>2010</v>
      </c>
      <c r="B49" s="1" t="s">
        <v>17</v>
      </c>
      <c r="C49" s="3">
        <v>2011</v>
      </c>
      <c r="D49" s="3">
        <v>11</v>
      </c>
      <c r="E49" s="1" t="s">
        <v>2</v>
      </c>
      <c r="F49" s="1" t="s">
        <v>2</v>
      </c>
      <c r="G49" s="1"/>
      <c r="H49" s="1"/>
      <c r="I49" s="1"/>
      <c r="K49">
        <v>2021</v>
      </c>
      <c r="L49" t="s">
        <v>28</v>
      </c>
      <c r="M49" s="1" t="s">
        <v>12</v>
      </c>
      <c r="N49">
        <f t="shared" si="2"/>
        <v>163.55472404115997</v>
      </c>
      <c r="O49">
        <f>SUM(D131:D132)</f>
        <v>155</v>
      </c>
    </row>
    <row r="50" spans="1:15">
      <c r="A50">
        <v>2010</v>
      </c>
      <c r="B50" s="1" t="s">
        <v>17</v>
      </c>
      <c r="C50" s="3">
        <v>2012</v>
      </c>
      <c r="D50" s="3">
        <v>1</v>
      </c>
      <c r="E50" s="1" t="s">
        <v>2</v>
      </c>
      <c r="F50" s="1" t="s">
        <v>2</v>
      </c>
      <c r="G50" s="1"/>
      <c r="H50" s="1"/>
      <c r="I50" s="1"/>
      <c r="K50">
        <v>2021</v>
      </c>
      <c r="L50" t="s">
        <v>28</v>
      </c>
      <c r="M50" s="1" t="s">
        <v>13</v>
      </c>
      <c r="N50">
        <f t="shared" si="2"/>
        <v>339.77174929840976</v>
      </c>
      <c r="O50">
        <f>SUM(D133:D135)</f>
        <v>322</v>
      </c>
    </row>
    <row r="51" spans="1:15">
      <c r="A51">
        <v>2010</v>
      </c>
      <c r="B51" s="1" t="s">
        <v>17</v>
      </c>
      <c r="C51" s="3">
        <v>2013</v>
      </c>
      <c r="D51" s="3">
        <v>1</v>
      </c>
      <c r="E51" s="1" t="s">
        <v>2</v>
      </c>
      <c r="F51" s="1" t="s">
        <v>2</v>
      </c>
      <c r="G51" s="1"/>
      <c r="H51" s="1"/>
      <c r="I51" s="1"/>
      <c r="K51">
        <v>2021</v>
      </c>
      <c r="L51" t="s">
        <v>28</v>
      </c>
      <c r="M51" s="1" t="s">
        <v>14</v>
      </c>
      <c r="N51">
        <f t="shared" si="2"/>
        <v>377.75865294667915</v>
      </c>
      <c r="O51">
        <f>SUM(D136:D138)</f>
        <v>358</v>
      </c>
    </row>
    <row r="52" spans="1:15">
      <c r="A52">
        <v>2010</v>
      </c>
      <c r="B52" s="1" t="s">
        <v>17</v>
      </c>
      <c r="C52" s="3">
        <v>2014</v>
      </c>
      <c r="D52" s="3">
        <v>1</v>
      </c>
      <c r="E52" s="1" t="s">
        <v>2</v>
      </c>
      <c r="F52" s="1" t="s">
        <v>2</v>
      </c>
      <c r="G52" s="1"/>
      <c r="H52" s="1"/>
      <c r="I52" s="1"/>
      <c r="K52">
        <v>2021</v>
      </c>
      <c r="L52" t="s">
        <v>28</v>
      </c>
      <c r="M52" s="1" t="s">
        <v>15</v>
      </c>
      <c r="N52">
        <f t="shared" si="2"/>
        <v>361.93077642656687</v>
      </c>
      <c r="O52">
        <f>SUM(D139:D140)</f>
        <v>343</v>
      </c>
    </row>
    <row r="53" spans="1:15">
      <c r="A53">
        <v>2010</v>
      </c>
      <c r="B53" s="1" t="s">
        <v>17</v>
      </c>
      <c r="C53" s="3">
        <v>2015</v>
      </c>
      <c r="D53" s="3">
        <v>1</v>
      </c>
      <c r="E53" s="1" t="s">
        <v>2</v>
      </c>
      <c r="F53" s="1" t="s">
        <v>2</v>
      </c>
      <c r="G53" s="1"/>
      <c r="H53" s="1"/>
      <c r="I53" s="1"/>
      <c r="K53">
        <v>2021</v>
      </c>
      <c r="L53" t="s">
        <v>28</v>
      </c>
      <c r="M53" s="1" t="s">
        <v>16</v>
      </c>
      <c r="N53">
        <f t="shared" si="2"/>
        <v>306.00561272217027</v>
      </c>
      <c r="O53">
        <f>SUM(D141:D143)</f>
        <v>290</v>
      </c>
    </row>
    <row r="54" spans="1:15">
      <c r="A54">
        <v>2010</v>
      </c>
      <c r="B54" s="1" t="s">
        <v>18</v>
      </c>
      <c r="C54" s="3">
        <v>2010</v>
      </c>
      <c r="D54" s="3">
        <v>296</v>
      </c>
      <c r="E54" s="3">
        <v>35</v>
      </c>
      <c r="F54" s="1" t="s">
        <v>2</v>
      </c>
      <c r="G54" s="1"/>
      <c r="H54" s="1"/>
      <c r="I54" s="1"/>
      <c r="K54">
        <v>2021</v>
      </c>
      <c r="L54" t="s">
        <v>28</v>
      </c>
      <c r="M54" s="1" t="s">
        <v>17</v>
      </c>
      <c r="N54">
        <f t="shared" si="2"/>
        <v>258.52198316183348</v>
      </c>
      <c r="O54">
        <f>SUM(D144:D146)</f>
        <v>245</v>
      </c>
    </row>
    <row r="55" spans="1:15">
      <c r="A55">
        <v>2010</v>
      </c>
      <c r="B55" s="1" t="s">
        <v>18</v>
      </c>
      <c r="C55" s="3">
        <v>2011</v>
      </c>
      <c r="D55" s="3">
        <v>8</v>
      </c>
      <c r="E55" s="1" t="s">
        <v>2</v>
      </c>
      <c r="F55" s="3">
        <v>1</v>
      </c>
      <c r="G55" s="1"/>
      <c r="H55" s="1"/>
      <c r="I55" s="1"/>
      <c r="K55">
        <v>2021</v>
      </c>
      <c r="L55" t="s">
        <v>28</v>
      </c>
      <c r="M55" s="1" t="s">
        <v>18</v>
      </c>
      <c r="N55">
        <f t="shared" si="2"/>
        <v>180.43779232927969</v>
      </c>
      <c r="O55">
        <f>SUM(D147:D148)</f>
        <v>171</v>
      </c>
    </row>
    <row r="56" spans="1:15">
      <c r="A56">
        <v>2010</v>
      </c>
      <c r="B56" s="1" t="s">
        <v>18</v>
      </c>
      <c r="C56" s="3">
        <v>2012</v>
      </c>
      <c r="D56" s="3">
        <v>1</v>
      </c>
      <c r="E56" s="1" t="s">
        <v>2</v>
      </c>
      <c r="F56" s="1" t="s">
        <v>2</v>
      </c>
      <c r="G56" s="1"/>
      <c r="H56" s="1"/>
      <c r="I56" s="1"/>
      <c r="K56">
        <v>2021</v>
      </c>
      <c r="L56" t="s">
        <v>28</v>
      </c>
      <c r="M56" s="1" t="s">
        <v>19</v>
      </c>
      <c r="N56">
        <f t="shared" si="2"/>
        <v>108.68475210477081</v>
      </c>
      <c r="O56">
        <f>D149</f>
        <v>103</v>
      </c>
    </row>
    <row r="57" spans="1:15">
      <c r="A57">
        <v>2010</v>
      </c>
      <c r="B57" s="1" t="s">
        <v>18</v>
      </c>
      <c r="C57" s="3">
        <v>2022</v>
      </c>
      <c r="D57" s="3">
        <v>1</v>
      </c>
      <c r="E57" s="1" t="s">
        <v>2</v>
      </c>
      <c r="F57" s="1" t="s">
        <v>2</v>
      </c>
      <c r="G57" s="1"/>
      <c r="H57" s="1"/>
      <c r="I57" s="1"/>
      <c r="K57">
        <v>2021</v>
      </c>
      <c r="L57" t="s">
        <v>28</v>
      </c>
      <c r="M57" s="1" t="s">
        <v>20</v>
      </c>
      <c r="N57">
        <f t="shared" si="2"/>
        <v>64.366697848456496</v>
      </c>
      <c r="O57">
        <f t="shared" ref="O57:P63" si="4">D150</f>
        <v>61</v>
      </c>
    </row>
    <row r="58" spans="1:15">
      <c r="A58">
        <v>2010</v>
      </c>
      <c r="B58" s="1" t="s">
        <v>19</v>
      </c>
      <c r="C58" s="3">
        <v>2010</v>
      </c>
      <c r="D58" s="3">
        <v>170</v>
      </c>
      <c r="E58" s="3">
        <v>20</v>
      </c>
      <c r="F58" s="1" t="s">
        <v>2</v>
      </c>
      <c r="G58" s="1"/>
      <c r="H58" s="1"/>
      <c r="I58" s="1"/>
      <c r="K58">
        <v>2021</v>
      </c>
      <c r="L58" t="s">
        <v>28</v>
      </c>
      <c r="M58" s="1" t="s">
        <v>21</v>
      </c>
      <c r="N58">
        <f t="shared" si="2"/>
        <v>32.710944808231993</v>
      </c>
      <c r="O58">
        <f t="shared" si="4"/>
        <v>31</v>
      </c>
    </row>
    <row r="59" spans="1:15">
      <c r="A59">
        <v>2010</v>
      </c>
      <c r="B59" s="1" t="s">
        <v>19</v>
      </c>
      <c r="C59" s="3">
        <v>2011</v>
      </c>
      <c r="D59" s="3">
        <v>6</v>
      </c>
      <c r="E59" s="1" t="s">
        <v>2</v>
      </c>
      <c r="F59" s="1" t="s">
        <v>2</v>
      </c>
      <c r="G59" s="1"/>
      <c r="H59" s="1"/>
      <c r="I59" s="1"/>
      <c r="K59">
        <v>2021</v>
      </c>
      <c r="L59" t="s">
        <v>28</v>
      </c>
      <c r="M59" s="1" t="s">
        <v>22</v>
      </c>
      <c r="N59">
        <f t="shared" si="2"/>
        <v>22.159027128157156</v>
      </c>
      <c r="O59">
        <f t="shared" si="4"/>
        <v>21</v>
      </c>
    </row>
    <row r="60" spans="1:15">
      <c r="A60">
        <v>2010</v>
      </c>
      <c r="B60" s="1" t="s">
        <v>19</v>
      </c>
      <c r="C60" s="3">
        <v>2012</v>
      </c>
      <c r="D60" s="3">
        <v>1</v>
      </c>
      <c r="E60" s="1" t="s">
        <v>2</v>
      </c>
      <c r="F60" s="1" t="s">
        <v>2</v>
      </c>
      <c r="G60" s="1"/>
      <c r="H60" s="1"/>
      <c r="I60" s="1"/>
      <c r="K60">
        <v>2021</v>
      </c>
      <c r="L60" t="s">
        <v>28</v>
      </c>
      <c r="M60" s="1" t="s">
        <v>23</v>
      </c>
      <c r="N60">
        <f t="shared" si="2"/>
        <v>16.883068288119738</v>
      </c>
      <c r="O60">
        <f t="shared" si="4"/>
        <v>16</v>
      </c>
    </row>
    <row r="61" spans="1:15">
      <c r="A61">
        <v>2010</v>
      </c>
      <c r="B61" s="1" t="s">
        <v>20</v>
      </c>
      <c r="C61" s="3">
        <v>2010</v>
      </c>
      <c r="D61" s="3">
        <v>89</v>
      </c>
      <c r="E61" s="3">
        <v>9</v>
      </c>
      <c r="F61" s="1" t="s">
        <v>2</v>
      </c>
      <c r="G61" s="1"/>
      <c r="H61" s="1"/>
      <c r="I61" s="1"/>
      <c r="K61">
        <v>2021</v>
      </c>
      <c r="L61" t="s">
        <v>28</v>
      </c>
      <c r="M61" s="1" t="s">
        <v>24</v>
      </c>
      <c r="N61">
        <f t="shared" si="2"/>
        <v>6.3311506080449016</v>
      </c>
      <c r="O61">
        <f t="shared" si="4"/>
        <v>6</v>
      </c>
    </row>
    <row r="62" spans="1:15">
      <c r="A62">
        <v>2010</v>
      </c>
      <c r="B62" s="1" t="s">
        <v>20</v>
      </c>
      <c r="C62" s="3">
        <v>2011</v>
      </c>
      <c r="D62" s="3">
        <v>1</v>
      </c>
      <c r="E62" s="1" t="s">
        <v>2</v>
      </c>
      <c r="F62" s="1" t="s">
        <v>2</v>
      </c>
      <c r="G62" s="1"/>
      <c r="H62" s="1"/>
      <c r="I62" s="1"/>
      <c r="K62">
        <v>2021</v>
      </c>
      <c r="L62" t="s">
        <v>28</v>
      </c>
      <c r="M62" s="1" t="s">
        <v>25</v>
      </c>
      <c r="N62">
        <f t="shared" si="2"/>
        <v>1.0551917680074836</v>
      </c>
      <c r="O62">
        <f t="shared" si="4"/>
        <v>1</v>
      </c>
    </row>
    <row r="63" spans="1:15">
      <c r="A63">
        <v>2010</v>
      </c>
      <c r="B63" s="1" t="s">
        <v>21</v>
      </c>
      <c r="C63" s="3">
        <v>2010</v>
      </c>
      <c r="D63" s="3">
        <v>46</v>
      </c>
      <c r="E63" s="3">
        <v>7</v>
      </c>
      <c r="F63" s="1" t="s">
        <v>2</v>
      </c>
      <c r="G63" s="1"/>
      <c r="H63" s="1"/>
      <c r="I63" s="1"/>
      <c r="K63">
        <v>2021</v>
      </c>
      <c r="L63" t="s">
        <v>28</v>
      </c>
      <c r="M63" s="1" t="s">
        <v>26</v>
      </c>
      <c r="N63">
        <f t="shared" si="2"/>
        <v>1.0551917680074836</v>
      </c>
      <c r="O63">
        <f t="shared" si="4"/>
        <v>1</v>
      </c>
    </row>
    <row r="64" spans="1:15">
      <c r="A64">
        <v>2010</v>
      </c>
      <c r="B64" s="1" t="s">
        <v>21</v>
      </c>
      <c r="C64" s="3">
        <v>2011</v>
      </c>
      <c r="D64" s="3">
        <v>2</v>
      </c>
      <c r="E64" s="1" t="s">
        <v>2</v>
      </c>
      <c r="F64" s="1" t="s">
        <v>2</v>
      </c>
      <c r="G64" s="1"/>
      <c r="H64" s="1"/>
      <c r="I64" s="1"/>
      <c r="K64">
        <v>2010</v>
      </c>
      <c r="L64" t="s">
        <v>29</v>
      </c>
      <c r="M64" s="1" t="s">
        <v>8</v>
      </c>
      <c r="N64">
        <f>O64+(O64/SUM($O$64:$O$82))*$O$2</f>
        <v>2.0070298769771528</v>
      </c>
      <c r="O64">
        <f>SUM(E16:E17)</f>
        <v>2</v>
      </c>
    </row>
    <row r="65" spans="1:15">
      <c r="A65">
        <v>2010</v>
      </c>
      <c r="B65" s="1" t="s">
        <v>21</v>
      </c>
      <c r="C65" s="3">
        <v>2012</v>
      </c>
      <c r="D65" s="3">
        <v>1</v>
      </c>
      <c r="E65" s="1" t="s">
        <v>2</v>
      </c>
      <c r="F65" s="1" t="s">
        <v>2</v>
      </c>
      <c r="G65" s="1"/>
      <c r="H65" s="1"/>
      <c r="I65" s="1"/>
      <c r="K65">
        <v>2010</v>
      </c>
      <c r="L65" t="s">
        <v>29</v>
      </c>
      <c r="M65" s="1" t="s">
        <v>9</v>
      </c>
      <c r="N65">
        <f t="shared" ref="N65:N82" si="5">O65+(O65/SUM($O$64:$O$82))*$O$2</f>
        <v>5.0175746924428823</v>
      </c>
      <c r="O65">
        <f>E18</f>
        <v>5</v>
      </c>
    </row>
    <row r="66" spans="1:15">
      <c r="A66">
        <v>2010</v>
      </c>
      <c r="B66" s="1" t="s">
        <v>22</v>
      </c>
      <c r="C66" s="3">
        <v>2010</v>
      </c>
      <c r="D66" s="3">
        <v>44</v>
      </c>
      <c r="E66" s="3">
        <v>7</v>
      </c>
      <c r="F66" s="1" t="s">
        <v>2</v>
      </c>
      <c r="G66" s="1"/>
      <c r="H66" s="1"/>
      <c r="I66" s="1"/>
      <c r="K66">
        <v>2010</v>
      </c>
      <c r="L66" t="s">
        <v>29</v>
      </c>
      <c r="M66" s="1" t="s">
        <v>10</v>
      </c>
      <c r="N66">
        <f t="shared" si="5"/>
        <v>6.021089630931459</v>
      </c>
      <c r="O66">
        <f>E19</f>
        <v>6</v>
      </c>
    </row>
    <row r="67" spans="1:15">
      <c r="A67">
        <v>2010</v>
      </c>
      <c r="B67" s="1" t="s">
        <v>23</v>
      </c>
      <c r="C67" s="3">
        <v>2010</v>
      </c>
      <c r="D67" s="3">
        <v>25</v>
      </c>
      <c r="E67" s="3">
        <v>3</v>
      </c>
      <c r="F67" s="1" t="s">
        <v>2</v>
      </c>
      <c r="G67" s="1"/>
      <c r="H67" s="1"/>
      <c r="I67" s="1"/>
      <c r="K67">
        <v>2010</v>
      </c>
      <c r="L67" t="s">
        <v>29</v>
      </c>
      <c r="M67" s="1" t="s">
        <v>11</v>
      </c>
      <c r="N67">
        <f t="shared" si="5"/>
        <v>16.056239015817223</v>
      </c>
      <c r="O67">
        <f>SUM(E20:E22)</f>
        <v>16</v>
      </c>
    </row>
    <row r="68" spans="1:15">
      <c r="A68">
        <v>2010</v>
      </c>
      <c r="B68" s="1" t="s">
        <v>23</v>
      </c>
      <c r="C68" s="3">
        <v>2011</v>
      </c>
      <c r="D68" s="3">
        <v>1</v>
      </c>
      <c r="E68" s="1" t="s">
        <v>2</v>
      </c>
      <c r="F68" s="1" t="s">
        <v>2</v>
      </c>
      <c r="G68" s="1"/>
      <c r="H68" s="1"/>
      <c r="I68" s="1"/>
      <c r="K68">
        <v>2010</v>
      </c>
      <c r="L68" t="s">
        <v>29</v>
      </c>
      <c r="M68" s="1" t="s">
        <v>12</v>
      </c>
      <c r="N68">
        <f t="shared" si="5"/>
        <v>69.242530755711769</v>
      </c>
      <c r="O68">
        <f>SUM(E23:E29)</f>
        <v>69</v>
      </c>
    </row>
    <row r="69" spans="1:15">
      <c r="A69">
        <v>2010</v>
      </c>
      <c r="B69" s="1" t="s">
        <v>24</v>
      </c>
      <c r="C69" s="3">
        <v>2010</v>
      </c>
      <c r="D69" s="3">
        <v>12</v>
      </c>
      <c r="E69" s="3">
        <v>2</v>
      </c>
      <c r="F69" s="1" t="s">
        <v>2</v>
      </c>
      <c r="G69" s="1"/>
      <c r="H69" s="1"/>
      <c r="I69" s="1"/>
      <c r="K69">
        <v>2010</v>
      </c>
      <c r="L69" t="s">
        <v>29</v>
      </c>
      <c r="M69" s="1" t="s">
        <v>13</v>
      </c>
      <c r="N69">
        <f t="shared" si="5"/>
        <v>96.337434094903344</v>
      </c>
      <c r="O69">
        <f>SUM(E30:E34)</f>
        <v>96</v>
      </c>
    </row>
    <row r="70" spans="1:15">
      <c r="A70">
        <v>2010</v>
      </c>
      <c r="B70" s="1" t="s">
        <v>25</v>
      </c>
      <c r="C70" s="3">
        <v>2010</v>
      </c>
      <c r="D70" s="3">
        <v>4</v>
      </c>
      <c r="E70" s="3">
        <v>1</v>
      </c>
      <c r="F70" s="1" t="s">
        <v>2</v>
      </c>
      <c r="G70" s="1"/>
      <c r="H70" s="1"/>
      <c r="I70" s="1"/>
      <c r="K70">
        <v>2010</v>
      </c>
      <c r="L70" t="s">
        <v>29</v>
      </c>
      <c r="M70" s="1" t="s">
        <v>14</v>
      </c>
      <c r="N70">
        <f t="shared" si="5"/>
        <v>101.35500878734622</v>
      </c>
      <c r="O70" s="6">
        <f>SUM(E35:E41)</f>
        <v>101</v>
      </c>
    </row>
    <row r="71" spans="1:15">
      <c r="A71">
        <v>2010</v>
      </c>
      <c r="B71" s="1" t="s">
        <v>26</v>
      </c>
      <c r="C71" s="3">
        <v>2010</v>
      </c>
      <c r="D71" s="3">
        <v>2</v>
      </c>
      <c r="E71" s="1" t="s">
        <v>2</v>
      </c>
      <c r="F71" s="1" t="s">
        <v>2</v>
      </c>
      <c r="G71" s="1"/>
      <c r="H71" s="1"/>
      <c r="I71" s="1"/>
      <c r="K71">
        <v>2010</v>
      </c>
      <c r="L71" t="s">
        <v>29</v>
      </c>
      <c r="M71" s="1" t="s">
        <v>15</v>
      </c>
      <c r="N71">
        <f t="shared" si="5"/>
        <v>93.326889279437609</v>
      </c>
      <c r="O71" s="6">
        <f>SUM(E42:E43)</f>
        <v>93</v>
      </c>
    </row>
    <row r="72" spans="1:15">
      <c r="A72">
        <v>2010</v>
      </c>
      <c r="B72" s="1" t="s">
        <v>26</v>
      </c>
      <c r="C72" s="3">
        <v>2011</v>
      </c>
      <c r="D72" s="3">
        <v>14</v>
      </c>
      <c r="E72" s="1" t="s">
        <v>2</v>
      </c>
      <c r="F72" s="1" t="s">
        <v>2</v>
      </c>
      <c r="G72" s="1"/>
      <c r="H72" s="1"/>
      <c r="I72" s="1"/>
      <c r="K72">
        <v>2010</v>
      </c>
      <c r="L72" t="s">
        <v>29</v>
      </c>
      <c r="M72" s="1" t="s">
        <v>16</v>
      </c>
      <c r="N72">
        <f t="shared" si="5"/>
        <v>51.1792618629174</v>
      </c>
      <c r="O72">
        <f>SUM(E44:E47)</f>
        <v>51</v>
      </c>
    </row>
    <row r="73" spans="1:15">
      <c r="A73">
        <v>2010</v>
      </c>
      <c r="B73" s="1" t="s">
        <v>6</v>
      </c>
      <c r="C73" s="3">
        <v>2010</v>
      </c>
      <c r="D73" s="3">
        <v>29</v>
      </c>
      <c r="E73" s="3">
        <v>1</v>
      </c>
      <c r="F73" s="3">
        <v>4</v>
      </c>
      <c r="G73" s="1"/>
      <c r="H73" s="1"/>
      <c r="I73" s="1"/>
      <c r="K73">
        <v>2010</v>
      </c>
      <c r="L73" t="s">
        <v>29</v>
      </c>
      <c r="M73" s="1" t="s">
        <v>17</v>
      </c>
      <c r="N73">
        <f t="shared" si="5"/>
        <v>46.161687170474515</v>
      </c>
      <c r="O73">
        <f>SUM(E48:E53)</f>
        <v>46</v>
      </c>
    </row>
    <row r="74" spans="1:15">
      <c r="A74">
        <v>2010</v>
      </c>
      <c r="B74" s="1" t="s">
        <v>6</v>
      </c>
      <c r="C74" s="3">
        <v>2011</v>
      </c>
      <c r="D74" s="3">
        <v>3</v>
      </c>
      <c r="E74" s="1" t="s">
        <v>2</v>
      </c>
      <c r="F74" s="1" t="s">
        <v>2</v>
      </c>
      <c r="G74" s="1"/>
      <c r="H74" s="1"/>
      <c r="I74" s="1"/>
      <c r="K74">
        <v>2010</v>
      </c>
      <c r="L74" t="s">
        <v>29</v>
      </c>
      <c r="M74" s="1" t="s">
        <v>18</v>
      </c>
      <c r="N74">
        <f t="shared" si="5"/>
        <v>35.123022847100174</v>
      </c>
      <c r="O74">
        <f>SUM(E54:E57)</f>
        <v>35</v>
      </c>
    </row>
    <row r="75" spans="1:15">
      <c r="A75">
        <v>2010</v>
      </c>
      <c r="B75" s="1" t="s">
        <v>6</v>
      </c>
      <c r="C75" s="3">
        <v>2012</v>
      </c>
      <c r="D75" s="3">
        <v>15</v>
      </c>
      <c r="E75" s="1" t="s">
        <v>2</v>
      </c>
      <c r="F75" s="3">
        <v>1</v>
      </c>
      <c r="G75" s="1"/>
      <c r="H75" s="1"/>
      <c r="I75" s="1"/>
      <c r="K75">
        <v>2010</v>
      </c>
      <c r="L75" t="s">
        <v>29</v>
      </c>
      <c r="M75" s="1" t="s">
        <v>19</v>
      </c>
      <c r="N75">
        <f t="shared" si="5"/>
        <v>20.070298769771529</v>
      </c>
      <c r="O75">
        <f>SUM(E58:E60)</f>
        <v>20</v>
      </c>
    </row>
    <row r="76" spans="1:15">
      <c r="A76">
        <v>2010</v>
      </c>
      <c r="B76" s="1" t="s">
        <v>6</v>
      </c>
      <c r="C76" s="3">
        <v>2013</v>
      </c>
      <c r="D76" s="3">
        <v>13</v>
      </c>
      <c r="E76" s="1" t="s">
        <v>2</v>
      </c>
      <c r="F76" s="1" t="s">
        <v>2</v>
      </c>
      <c r="G76" s="1"/>
      <c r="H76" s="1"/>
      <c r="I76" s="1"/>
      <c r="K76">
        <v>2010</v>
      </c>
      <c r="L76" t="s">
        <v>29</v>
      </c>
      <c r="M76" s="1" t="s">
        <v>20</v>
      </c>
      <c r="N76">
        <f t="shared" si="5"/>
        <v>9.031634446397188</v>
      </c>
      <c r="O76">
        <f>SUM(E61:E62)</f>
        <v>9</v>
      </c>
    </row>
    <row r="77" spans="1:15">
      <c r="A77">
        <v>2010</v>
      </c>
      <c r="B77" s="1" t="s">
        <v>6</v>
      </c>
      <c r="C77" s="3">
        <v>2015</v>
      </c>
      <c r="D77" s="3">
        <v>3</v>
      </c>
      <c r="E77" s="3">
        <v>1</v>
      </c>
      <c r="F77" s="1" t="s">
        <v>2</v>
      </c>
      <c r="G77" s="1"/>
      <c r="H77" s="1"/>
      <c r="I77" s="1"/>
      <c r="K77">
        <v>2010</v>
      </c>
      <c r="L77" t="s">
        <v>29</v>
      </c>
      <c r="M77" s="1" t="s">
        <v>21</v>
      </c>
      <c r="N77">
        <f t="shared" si="5"/>
        <v>7.0246045694200347</v>
      </c>
      <c r="O77">
        <f>SUM(E63:E65)</f>
        <v>7</v>
      </c>
    </row>
    <row r="78" spans="1:15">
      <c r="A78">
        <v>2019</v>
      </c>
      <c r="B78" s="1" t="s">
        <v>7</v>
      </c>
      <c r="C78" s="3">
        <v>2019</v>
      </c>
      <c r="D78" s="4">
        <v>2004</v>
      </c>
      <c r="E78" s="3">
        <v>254</v>
      </c>
      <c r="F78" s="1" t="s">
        <v>2</v>
      </c>
      <c r="G78" s="1"/>
      <c r="H78" s="1"/>
      <c r="I78" s="1"/>
      <c r="K78">
        <v>2010</v>
      </c>
      <c r="L78" t="s">
        <v>29</v>
      </c>
      <c r="M78" s="1" t="s">
        <v>22</v>
      </c>
      <c r="N78">
        <f t="shared" si="5"/>
        <v>7.0246045694200347</v>
      </c>
      <c r="O78">
        <f>E66</f>
        <v>7</v>
      </c>
    </row>
    <row r="79" spans="1:15">
      <c r="A79">
        <v>2019</v>
      </c>
      <c r="B79" s="1" t="s">
        <v>7</v>
      </c>
      <c r="C79" s="3">
        <v>2020</v>
      </c>
      <c r="D79" s="3">
        <v>18</v>
      </c>
      <c r="E79" s="3">
        <v>1</v>
      </c>
      <c r="F79" s="1" t="s">
        <v>2</v>
      </c>
      <c r="G79" s="1"/>
      <c r="H79" s="1"/>
      <c r="I79" s="1"/>
      <c r="K79">
        <v>2010</v>
      </c>
      <c r="L79" t="s">
        <v>29</v>
      </c>
      <c r="M79" s="1" t="s">
        <v>23</v>
      </c>
      <c r="N79">
        <f t="shared" si="5"/>
        <v>3.0105448154657295</v>
      </c>
      <c r="O79">
        <f>SUM(E67:E68)</f>
        <v>3</v>
      </c>
    </row>
    <row r="80" spans="1:15">
      <c r="A80">
        <v>2019</v>
      </c>
      <c r="B80" s="1" t="s">
        <v>7</v>
      </c>
      <c r="C80" s="3">
        <v>2021</v>
      </c>
      <c r="D80" s="3">
        <v>8</v>
      </c>
      <c r="E80" s="3">
        <v>2</v>
      </c>
      <c r="F80" s="1" t="s">
        <v>2</v>
      </c>
      <c r="G80" s="1"/>
      <c r="H80" s="1"/>
      <c r="I80" s="1"/>
      <c r="K80">
        <v>2010</v>
      </c>
      <c r="L80" t="s">
        <v>29</v>
      </c>
      <c r="M80" s="1" t="s">
        <v>24</v>
      </c>
      <c r="N80">
        <f t="shared" si="5"/>
        <v>2.0070298769771528</v>
      </c>
      <c r="O80">
        <f>SUM(E69)</f>
        <v>2</v>
      </c>
    </row>
    <row r="81" spans="1:15">
      <c r="A81">
        <v>2019</v>
      </c>
      <c r="B81" s="1" t="s">
        <v>7</v>
      </c>
      <c r="C81" s="3">
        <v>2022</v>
      </c>
      <c r="D81" s="3">
        <v>1</v>
      </c>
      <c r="E81" s="1" t="s">
        <v>2</v>
      </c>
      <c r="F81" s="1" t="s">
        <v>2</v>
      </c>
      <c r="G81" s="1"/>
      <c r="H81" s="1"/>
      <c r="I81" s="1"/>
      <c r="K81">
        <v>2010</v>
      </c>
      <c r="L81" t="s">
        <v>29</v>
      </c>
      <c r="M81" s="1" t="s">
        <v>25</v>
      </c>
      <c r="N81">
        <f t="shared" si="5"/>
        <v>1.0035149384885764</v>
      </c>
      <c r="O81">
        <f>E70</f>
        <v>1</v>
      </c>
    </row>
    <row r="82" spans="1:15">
      <c r="A82">
        <v>2019</v>
      </c>
      <c r="B82" s="1" t="s">
        <v>7</v>
      </c>
      <c r="C82" s="3">
        <v>2023</v>
      </c>
      <c r="D82" s="3">
        <v>4</v>
      </c>
      <c r="E82" s="1" t="s">
        <v>2</v>
      </c>
      <c r="F82" s="1" t="s">
        <v>2</v>
      </c>
      <c r="G82" s="1"/>
      <c r="H82" s="1"/>
      <c r="I82" s="1"/>
      <c r="K82">
        <v>2010</v>
      </c>
      <c r="L82" t="s">
        <v>29</v>
      </c>
      <c r="M82" s="1" t="s">
        <v>26</v>
      </c>
      <c r="N82">
        <f t="shared" si="5"/>
        <v>0</v>
      </c>
      <c r="O82">
        <f>SUM(E71:E72)</f>
        <v>0</v>
      </c>
    </row>
    <row r="83" spans="1:15">
      <c r="A83">
        <v>2019</v>
      </c>
      <c r="B83" s="1" t="s">
        <v>7</v>
      </c>
      <c r="C83" s="3">
        <v>2024</v>
      </c>
      <c r="D83" s="3">
        <v>1</v>
      </c>
      <c r="E83" s="1" t="s">
        <v>2</v>
      </c>
      <c r="F83" s="1" t="s">
        <v>2</v>
      </c>
      <c r="G83" s="1"/>
      <c r="H83" s="1"/>
      <c r="I83" s="1"/>
      <c r="K83">
        <v>2019</v>
      </c>
      <c r="L83" t="s">
        <v>29</v>
      </c>
      <c r="M83" s="1" t="s">
        <v>8</v>
      </c>
      <c r="N83">
        <f>O83+(O83/SUM($O$83:$O$101))*$O$3</f>
        <v>1</v>
      </c>
      <c r="O83">
        <v>1</v>
      </c>
    </row>
    <row r="84" spans="1:15">
      <c r="A84">
        <v>2019</v>
      </c>
      <c r="B84" s="1" t="s">
        <v>9</v>
      </c>
      <c r="C84" s="3">
        <v>2019</v>
      </c>
      <c r="D84" s="3">
        <v>2</v>
      </c>
      <c r="E84" s="3">
        <v>4</v>
      </c>
      <c r="F84" s="1" t="s">
        <v>2</v>
      </c>
      <c r="G84" s="1"/>
      <c r="H84" s="1"/>
      <c r="I84" s="1"/>
      <c r="K84">
        <v>2019</v>
      </c>
      <c r="L84" t="s">
        <v>29</v>
      </c>
      <c r="M84" s="1" t="s">
        <v>9</v>
      </c>
      <c r="N84">
        <f t="shared" ref="N84:N101" si="6">O84+(O84/SUM($O$83:$O$101))*$O$3</f>
        <v>4</v>
      </c>
      <c r="O84">
        <f>SUM(E84)</f>
        <v>4</v>
      </c>
    </row>
    <row r="85" spans="1:15">
      <c r="A85">
        <v>2019</v>
      </c>
      <c r="B85" s="1" t="s">
        <v>10</v>
      </c>
      <c r="C85" s="3">
        <v>2019</v>
      </c>
      <c r="D85" s="3">
        <v>2</v>
      </c>
      <c r="E85" s="3">
        <v>2</v>
      </c>
      <c r="F85" s="1" t="s">
        <v>2</v>
      </c>
      <c r="G85" s="1"/>
      <c r="H85" s="1"/>
      <c r="I85" s="1"/>
      <c r="K85">
        <v>2019</v>
      </c>
      <c r="L85" t="s">
        <v>29</v>
      </c>
      <c r="M85" s="1" t="s">
        <v>10</v>
      </c>
      <c r="N85">
        <f t="shared" si="6"/>
        <v>2</v>
      </c>
      <c r="O85">
        <f>SUM(E85)</f>
        <v>2</v>
      </c>
    </row>
    <row r="86" spans="1:15">
      <c r="A86">
        <v>2019</v>
      </c>
      <c r="B86" s="1" t="s">
        <v>11</v>
      </c>
      <c r="C86" s="3">
        <v>2019</v>
      </c>
      <c r="D86" s="3">
        <v>6</v>
      </c>
      <c r="E86" s="3">
        <v>6</v>
      </c>
      <c r="F86" s="1" t="s">
        <v>2</v>
      </c>
      <c r="G86" s="1"/>
      <c r="H86" s="1"/>
      <c r="I86" s="1"/>
      <c r="K86">
        <v>2019</v>
      </c>
      <c r="L86" t="s">
        <v>29</v>
      </c>
      <c r="M86" s="1" t="s">
        <v>11</v>
      </c>
      <c r="N86">
        <f t="shared" si="6"/>
        <v>6</v>
      </c>
      <c r="O86">
        <f>SUM(E86)</f>
        <v>6</v>
      </c>
    </row>
    <row r="87" spans="1:15">
      <c r="A87">
        <v>2019</v>
      </c>
      <c r="B87" s="1" t="s">
        <v>12</v>
      </c>
      <c r="C87" s="3">
        <v>2019</v>
      </c>
      <c r="D87" s="3">
        <v>165</v>
      </c>
      <c r="E87" s="3">
        <v>39</v>
      </c>
      <c r="F87" s="1" t="s">
        <v>2</v>
      </c>
      <c r="G87" s="1"/>
      <c r="H87" s="1"/>
      <c r="I87" s="1"/>
      <c r="K87">
        <v>2019</v>
      </c>
      <c r="L87" t="s">
        <v>29</v>
      </c>
      <c r="M87" s="1" t="s">
        <v>12</v>
      </c>
      <c r="N87">
        <f t="shared" si="6"/>
        <v>39</v>
      </c>
      <c r="O87">
        <f>SUM(E87:E89)</f>
        <v>39</v>
      </c>
    </row>
    <row r="88" spans="1:15">
      <c r="A88">
        <v>2019</v>
      </c>
      <c r="B88" s="1" t="s">
        <v>12</v>
      </c>
      <c r="C88" s="3">
        <v>2020</v>
      </c>
      <c r="D88" s="3">
        <v>1</v>
      </c>
      <c r="E88" s="1" t="s">
        <v>2</v>
      </c>
      <c r="F88" s="1" t="s">
        <v>2</v>
      </c>
      <c r="G88" s="1"/>
      <c r="H88" s="1"/>
      <c r="I88" s="1"/>
      <c r="K88">
        <v>2019</v>
      </c>
      <c r="L88" t="s">
        <v>29</v>
      </c>
      <c r="M88" s="1" t="s">
        <v>13</v>
      </c>
      <c r="N88">
        <f t="shared" si="6"/>
        <v>66</v>
      </c>
      <c r="O88">
        <f>SUM(E90:E93)</f>
        <v>66</v>
      </c>
    </row>
    <row r="89" spans="1:15">
      <c r="A89">
        <v>2019</v>
      </c>
      <c r="B89" s="1" t="s">
        <v>12</v>
      </c>
      <c r="C89" s="3">
        <v>2021</v>
      </c>
      <c r="D89" s="3">
        <v>2</v>
      </c>
      <c r="E89" s="1" t="s">
        <v>2</v>
      </c>
      <c r="F89" s="1" t="s">
        <v>2</v>
      </c>
      <c r="G89" s="1"/>
      <c r="H89" s="1"/>
      <c r="I89" s="1"/>
      <c r="K89">
        <v>2019</v>
      </c>
      <c r="L89" t="s">
        <v>29</v>
      </c>
      <c r="M89" s="1" t="s">
        <v>14</v>
      </c>
      <c r="N89">
        <f t="shared" si="6"/>
        <v>34</v>
      </c>
      <c r="O89">
        <f>SUM(E94:E97)</f>
        <v>34</v>
      </c>
    </row>
    <row r="90" spans="1:15">
      <c r="A90">
        <v>2019</v>
      </c>
      <c r="B90" s="1" t="s">
        <v>13</v>
      </c>
      <c r="C90" s="3">
        <v>2019</v>
      </c>
      <c r="D90" s="3">
        <v>361</v>
      </c>
      <c r="E90" s="3">
        <v>64</v>
      </c>
      <c r="F90" s="1" t="s">
        <v>2</v>
      </c>
      <c r="G90" s="1"/>
      <c r="H90" s="1"/>
      <c r="I90" s="1"/>
      <c r="K90">
        <v>2019</v>
      </c>
      <c r="L90" t="s">
        <v>29</v>
      </c>
      <c r="M90" s="1" t="s">
        <v>15</v>
      </c>
      <c r="N90">
        <f t="shared" si="6"/>
        <v>33</v>
      </c>
      <c r="O90">
        <f>SUM(E98:E101)</f>
        <v>33</v>
      </c>
    </row>
    <row r="91" spans="1:15">
      <c r="A91">
        <v>2019</v>
      </c>
      <c r="B91" s="1" t="s">
        <v>13</v>
      </c>
      <c r="C91" s="3">
        <v>2020</v>
      </c>
      <c r="D91" s="3">
        <v>3</v>
      </c>
      <c r="E91" s="3">
        <v>1</v>
      </c>
      <c r="F91" s="1" t="s">
        <v>2</v>
      </c>
      <c r="G91" s="1"/>
      <c r="H91" s="1"/>
      <c r="I91" s="1"/>
      <c r="K91">
        <v>2019</v>
      </c>
      <c r="L91" t="s">
        <v>29</v>
      </c>
      <c r="M91" s="1" t="s">
        <v>16</v>
      </c>
      <c r="N91">
        <f t="shared" si="6"/>
        <v>25</v>
      </c>
      <c r="O91">
        <f>SUM(E102:E105)</f>
        <v>25</v>
      </c>
    </row>
    <row r="92" spans="1:15">
      <c r="A92">
        <v>2019</v>
      </c>
      <c r="B92" s="1" t="s">
        <v>13</v>
      </c>
      <c r="C92" s="3">
        <v>2021</v>
      </c>
      <c r="D92" s="3">
        <v>3</v>
      </c>
      <c r="E92" s="3">
        <v>1</v>
      </c>
      <c r="F92" s="1" t="s">
        <v>2</v>
      </c>
      <c r="G92" s="1"/>
      <c r="H92" s="1"/>
      <c r="I92" s="1"/>
      <c r="K92">
        <v>2019</v>
      </c>
      <c r="L92" t="s">
        <v>29</v>
      </c>
      <c r="M92" s="1" t="s">
        <v>17</v>
      </c>
      <c r="N92">
        <f t="shared" si="6"/>
        <v>13</v>
      </c>
      <c r="O92">
        <f>SUM(E106:E109)</f>
        <v>13</v>
      </c>
    </row>
    <row r="93" spans="1:15">
      <c r="A93">
        <v>2019</v>
      </c>
      <c r="B93" s="1" t="s">
        <v>13</v>
      </c>
      <c r="C93" s="3">
        <v>2024</v>
      </c>
      <c r="D93" s="3">
        <v>1</v>
      </c>
      <c r="E93" s="1" t="s">
        <v>2</v>
      </c>
      <c r="F93" s="1" t="s">
        <v>2</v>
      </c>
      <c r="G93" s="1"/>
      <c r="H93" s="1"/>
      <c r="I93" s="1"/>
      <c r="K93">
        <v>2019</v>
      </c>
      <c r="L93" t="s">
        <v>29</v>
      </c>
      <c r="M93" s="1" t="s">
        <v>18</v>
      </c>
      <c r="N93">
        <f t="shared" si="6"/>
        <v>18</v>
      </c>
      <c r="O93">
        <f>SUM(E110:E111)</f>
        <v>18</v>
      </c>
    </row>
    <row r="94" spans="1:15">
      <c r="A94">
        <v>2019</v>
      </c>
      <c r="B94" s="1" t="s">
        <v>14</v>
      </c>
      <c r="C94" s="3">
        <v>2019</v>
      </c>
      <c r="D94" s="3">
        <v>334</v>
      </c>
      <c r="E94" s="3">
        <v>34</v>
      </c>
      <c r="F94" s="1" t="s">
        <v>2</v>
      </c>
      <c r="G94" s="1"/>
      <c r="H94" s="1"/>
      <c r="I94" s="1"/>
      <c r="K94">
        <v>2019</v>
      </c>
      <c r="L94" t="s">
        <v>29</v>
      </c>
      <c r="M94" s="1" t="s">
        <v>19</v>
      </c>
      <c r="N94">
        <f t="shared" si="6"/>
        <v>3</v>
      </c>
      <c r="O94">
        <f>E112</f>
        <v>3</v>
      </c>
    </row>
    <row r="95" spans="1:15">
      <c r="A95">
        <v>2019</v>
      </c>
      <c r="B95" s="1" t="s">
        <v>14</v>
      </c>
      <c r="C95" s="3">
        <v>2020</v>
      </c>
      <c r="D95" s="3">
        <v>4</v>
      </c>
      <c r="E95" s="1" t="s">
        <v>2</v>
      </c>
      <c r="F95" s="1" t="s">
        <v>2</v>
      </c>
      <c r="G95" s="1"/>
      <c r="H95" s="1"/>
      <c r="I95" s="1"/>
      <c r="K95">
        <v>2019</v>
      </c>
      <c r="L95" t="s">
        <v>29</v>
      </c>
      <c r="M95" s="1" t="s">
        <v>20</v>
      </c>
      <c r="N95">
        <f t="shared" si="6"/>
        <v>5</v>
      </c>
      <c r="O95">
        <f>SUM(E113:E114)</f>
        <v>5</v>
      </c>
    </row>
    <row r="96" spans="1:15">
      <c r="A96">
        <v>2019</v>
      </c>
      <c r="B96" s="1" t="s">
        <v>14</v>
      </c>
      <c r="C96" s="3">
        <v>2021</v>
      </c>
      <c r="D96" s="3">
        <v>1</v>
      </c>
      <c r="E96" s="1" t="s">
        <v>2</v>
      </c>
      <c r="F96" s="1" t="s">
        <v>2</v>
      </c>
      <c r="G96" s="1"/>
      <c r="H96" s="1"/>
      <c r="I96" s="1"/>
      <c r="K96">
        <v>2019</v>
      </c>
      <c r="L96" t="s">
        <v>29</v>
      </c>
      <c r="M96" s="1" t="s">
        <v>21</v>
      </c>
      <c r="N96">
        <f t="shared" si="6"/>
        <v>4</v>
      </c>
      <c r="O96">
        <f>E115</f>
        <v>4</v>
      </c>
    </row>
    <row r="97" spans="1:15">
      <c r="A97">
        <v>2019</v>
      </c>
      <c r="B97" s="1" t="s">
        <v>14</v>
      </c>
      <c r="C97" s="3">
        <v>2023</v>
      </c>
      <c r="D97" s="3">
        <v>2</v>
      </c>
      <c r="E97" s="1" t="s">
        <v>2</v>
      </c>
      <c r="F97" s="1" t="s">
        <v>2</v>
      </c>
      <c r="G97" s="1"/>
      <c r="H97" s="1"/>
      <c r="I97" s="1"/>
      <c r="K97">
        <v>2019</v>
      </c>
      <c r="L97" t="s">
        <v>29</v>
      </c>
      <c r="M97" s="1" t="s">
        <v>22</v>
      </c>
      <c r="N97">
        <f t="shared" si="6"/>
        <v>2</v>
      </c>
      <c r="O97">
        <f>SUM(E116:E117)</f>
        <v>2</v>
      </c>
    </row>
    <row r="98" spans="1:15">
      <c r="A98">
        <v>2019</v>
      </c>
      <c r="B98" s="1" t="s">
        <v>15</v>
      </c>
      <c r="C98" s="3">
        <v>2019</v>
      </c>
      <c r="D98" s="3">
        <v>308</v>
      </c>
      <c r="E98" s="3">
        <v>33</v>
      </c>
      <c r="F98" s="1" t="s">
        <v>2</v>
      </c>
      <c r="G98" s="1"/>
      <c r="H98" s="1"/>
      <c r="I98" s="1"/>
      <c r="K98">
        <v>2019</v>
      </c>
      <c r="L98" t="s">
        <v>29</v>
      </c>
      <c r="M98" s="1" t="s">
        <v>23</v>
      </c>
      <c r="N98">
        <f t="shared" si="6"/>
        <v>1</v>
      </c>
      <c r="O98">
        <f>E118</f>
        <v>1</v>
      </c>
    </row>
    <row r="99" spans="1:15">
      <c r="A99">
        <v>2019</v>
      </c>
      <c r="B99" s="1" t="s">
        <v>15</v>
      </c>
      <c r="C99" s="3">
        <v>2020</v>
      </c>
      <c r="D99" s="3">
        <v>4</v>
      </c>
      <c r="E99" s="1" t="s">
        <v>2</v>
      </c>
      <c r="F99" s="1" t="s">
        <v>2</v>
      </c>
      <c r="G99" s="1"/>
      <c r="H99" s="1"/>
      <c r="I99" s="1"/>
      <c r="K99">
        <v>2019</v>
      </c>
      <c r="L99" t="s">
        <v>29</v>
      </c>
      <c r="M99" s="1" t="s">
        <v>24</v>
      </c>
      <c r="N99">
        <f t="shared" si="6"/>
        <v>1</v>
      </c>
      <c r="O99">
        <f>E119</f>
        <v>1</v>
      </c>
    </row>
    <row r="100" spans="1:15">
      <c r="A100">
        <v>2019</v>
      </c>
      <c r="B100" s="1" t="s">
        <v>15</v>
      </c>
      <c r="C100" s="3">
        <v>2021</v>
      </c>
      <c r="D100" s="3">
        <v>1</v>
      </c>
      <c r="E100" s="1" t="s">
        <v>2</v>
      </c>
      <c r="F100" s="1" t="s">
        <v>2</v>
      </c>
      <c r="G100" s="1"/>
      <c r="H100" s="1"/>
      <c r="I100" s="1"/>
      <c r="K100">
        <v>2019</v>
      </c>
      <c r="L100" t="s">
        <v>29</v>
      </c>
      <c r="M100" s="1" t="s">
        <v>25</v>
      </c>
      <c r="N100">
        <f t="shared" si="6"/>
        <v>1</v>
      </c>
      <c r="O100">
        <f>E120</f>
        <v>1</v>
      </c>
    </row>
    <row r="101" spans="1:15">
      <c r="A101">
        <v>2019</v>
      </c>
      <c r="B101" s="1" t="s">
        <v>15</v>
      </c>
      <c r="C101" s="3">
        <v>2023</v>
      </c>
      <c r="D101" s="3">
        <v>1</v>
      </c>
      <c r="E101" s="1" t="s">
        <v>2</v>
      </c>
      <c r="F101" s="1" t="s">
        <v>2</v>
      </c>
      <c r="G101" s="1"/>
      <c r="H101" s="1"/>
      <c r="I101" s="1"/>
      <c r="K101">
        <v>2019</v>
      </c>
      <c r="L101" t="s">
        <v>29</v>
      </c>
      <c r="M101" s="1" t="s">
        <v>26</v>
      </c>
      <c r="N101">
        <f t="shared" si="6"/>
        <v>0</v>
      </c>
      <c r="O101">
        <v>0</v>
      </c>
    </row>
    <row r="102" spans="1:15">
      <c r="A102">
        <v>2019</v>
      </c>
      <c r="B102" s="1" t="s">
        <v>16</v>
      </c>
      <c r="C102" s="3">
        <v>2019</v>
      </c>
      <c r="D102" s="3">
        <v>253</v>
      </c>
      <c r="E102" s="3">
        <v>24</v>
      </c>
      <c r="F102" s="1" t="s">
        <v>2</v>
      </c>
      <c r="G102" s="1"/>
      <c r="H102" s="1"/>
      <c r="I102" s="1"/>
      <c r="K102">
        <v>2021</v>
      </c>
      <c r="L102" t="s">
        <v>29</v>
      </c>
      <c r="M102" s="1" t="s">
        <v>8</v>
      </c>
      <c r="N102">
        <f>O102+(O102/SUM($O$102:$O$120))*$O$4</f>
        <v>1.0629139072847682</v>
      </c>
      <c r="O102">
        <f>SUM(E127)</f>
        <v>1</v>
      </c>
    </row>
    <row r="103" spans="1:15">
      <c r="A103">
        <v>2019</v>
      </c>
      <c r="B103" s="1" t="s">
        <v>16</v>
      </c>
      <c r="C103" s="3">
        <v>2020</v>
      </c>
      <c r="D103" s="3">
        <v>1</v>
      </c>
      <c r="E103" s="1" t="s">
        <v>2</v>
      </c>
      <c r="F103" s="1" t="s">
        <v>2</v>
      </c>
      <c r="G103" s="1"/>
      <c r="H103" s="1"/>
      <c r="I103" s="1"/>
      <c r="K103">
        <v>2021</v>
      </c>
      <c r="L103" t="s">
        <v>29</v>
      </c>
      <c r="M103" s="1" t="s">
        <v>9</v>
      </c>
      <c r="N103">
        <f t="shared" ref="N103:N120" si="7">O103+(O103/SUM($O$102:$O$120))*$O$4</f>
        <v>2.1258278145695364</v>
      </c>
      <c r="O103">
        <f>E128</f>
        <v>2</v>
      </c>
    </row>
    <row r="104" spans="1:15">
      <c r="A104">
        <v>2019</v>
      </c>
      <c r="B104" s="1" t="s">
        <v>16</v>
      </c>
      <c r="C104" s="3">
        <v>2021</v>
      </c>
      <c r="D104" s="1" t="s">
        <v>2</v>
      </c>
      <c r="E104" s="3">
        <v>1</v>
      </c>
      <c r="F104" s="1" t="s">
        <v>2</v>
      </c>
      <c r="G104" s="1"/>
      <c r="H104" s="1"/>
      <c r="I104" s="1"/>
      <c r="K104">
        <v>2021</v>
      </c>
      <c r="L104" t="s">
        <v>29</v>
      </c>
      <c r="M104" s="1" t="s">
        <v>10</v>
      </c>
      <c r="N104">
        <f t="shared" si="7"/>
        <v>2.1258278145695364</v>
      </c>
      <c r="O104">
        <f>E129</f>
        <v>2</v>
      </c>
    </row>
    <row r="105" spans="1:15">
      <c r="A105">
        <v>2019</v>
      </c>
      <c r="B105" s="1" t="s">
        <v>16</v>
      </c>
      <c r="C105" s="3">
        <v>2022</v>
      </c>
      <c r="D105" s="3">
        <v>1</v>
      </c>
      <c r="E105" s="1" t="s">
        <v>2</v>
      </c>
      <c r="F105" s="1" t="s">
        <v>2</v>
      </c>
      <c r="G105" s="1"/>
      <c r="H105" s="1"/>
      <c r="I105" s="1"/>
      <c r="K105">
        <v>2021</v>
      </c>
      <c r="L105" t="s">
        <v>29</v>
      </c>
      <c r="M105" s="1" t="s">
        <v>11</v>
      </c>
      <c r="N105">
        <f t="shared" si="7"/>
        <v>4.2516556291390728</v>
      </c>
      <c r="O105">
        <f>E130</f>
        <v>4</v>
      </c>
    </row>
    <row r="106" spans="1:15">
      <c r="A106">
        <v>2019</v>
      </c>
      <c r="B106" s="1" t="s">
        <v>17</v>
      </c>
      <c r="C106" s="3">
        <v>2019</v>
      </c>
      <c r="D106" s="3">
        <v>225</v>
      </c>
      <c r="E106" s="3">
        <v>13</v>
      </c>
      <c r="F106" s="1" t="s">
        <v>2</v>
      </c>
      <c r="G106" s="1"/>
      <c r="H106" s="1"/>
      <c r="I106" s="1"/>
      <c r="K106">
        <v>2021</v>
      </c>
      <c r="L106" t="s">
        <v>29</v>
      </c>
      <c r="M106" s="1" t="s">
        <v>12</v>
      </c>
      <c r="N106">
        <f t="shared" si="7"/>
        <v>20.195364238410598</v>
      </c>
      <c r="O106">
        <f>SUM(E131:E132)</f>
        <v>19</v>
      </c>
    </row>
    <row r="107" spans="1:15">
      <c r="A107">
        <v>2019</v>
      </c>
      <c r="B107" s="1" t="s">
        <v>17</v>
      </c>
      <c r="C107" s="3">
        <v>2020</v>
      </c>
      <c r="D107" s="3">
        <v>1</v>
      </c>
      <c r="E107" s="1" t="s">
        <v>2</v>
      </c>
      <c r="F107" s="1" t="s">
        <v>2</v>
      </c>
      <c r="G107" s="1"/>
      <c r="H107" s="1"/>
      <c r="I107" s="1"/>
      <c r="K107">
        <v>2021</v>
      </c>
      <c r="L107" t="s">
        <v>29</v>
      </c>
      <c r="M107" s="1" t="s">
        <v>13</v>
      </c>
      <c r="N107">
        <f t="shared" si="7"/>
        <v>60.586092715231786</v>
      </c>
      <c r="O107">
        <f>SUM(E133:E135)</f>
        <v>57</v>
      </c>
    </row>
    <row r="108" spans="1:15">
      <c r="A108">
        <v>2019</v>
      </c>
      <c r="B108" s="1" t="s">
        <v>17</v>
      </c>
      <c r="C108" s="3">
        <v>2021</v>
      </c>
      <c r="D108" s="3">
        <v>1</v>
      </c>
      <c r="E108" s="1" t="s">
        <v>2</v>
      </c>
      <c r="F108" s="1" t="s">
        <v>2</v>
      </c>
      <c r="G108" s="1"/>
      <c r="H108" s="1"/>
      <c r="I108" s="1"/>
      <c r="K108">
        <v>2021</v>
      </c>
      <c r="L108" t="s">
        <v>29</v>
      </c>
      <c r="M108" s="1" t="s">
        <v>14</v>
      </c>
      <c r="N108">
        <f t="shared" si="7"/>
        <v>53.145695364238414</v>
      </c>
      <c r="O108">
        <f>SUM(E136:E138)</f>
        <v>50</v>
      </c>
    </row>
    <row r="109" spans="1:15">
      <c r="A109">
        <v>2019</v>
      </c>
      <c r="B109" s="1" t="s">
        <v>17</v>
      </c>
      <c r="C109" s="3">
        <v>2023</v>
      </c>
      <c r="D109" s="3">
        <v>1</v>
      </c>
      <c r="E109" s="1" t="s">
        <v>2</v>
      </c>
      <c r="F109" s="1" t="s">
        <v>2</v>
      </c>
      <c r="G109" s="1"/>
      <c r="H109" s="1"/>
      <c r="I109" s="1"/>
      <c r="K109">
        <v>2021</v>
      </c>
      <c r="L109" t="s">
        <v>29</v>
      </c>
      <c r="M109" s="1" t="s">
        <v>15</v>
      </c>
      <c r="N109">
        <f t="shared" si="7"/>
        <v>60.586092715231786</v>
      </c>
      <c r="O109">
        <f>SUM(E139:E140)</f>
        <v>57</v>
      </c>
    </row>
    <row r="110" spans="1:15">
      <c r="A110">
        <v>2019</v>
      </c>
      <c r="B110" s="1" t="s">
        <v>18</v>
      </c>
      <c r="C110" s="3">
        <v>2019</v>
      </c>
      <c r="D110" s="3">
        <v>147</v>
      </c>
      <c r="E110" s="3">
        <v>18</v>
      </c>
      <c r="F110" s="1" t="s">
        <v>2</v>
      </c>
      <c r="G110" s="1"/>
      <c r="H110" s="1"/>
      <c r="I110" s="1"/>
      <c r="K110">
        <v>2021</v>
      </c>
      <c r="L110" t="s">
        <v>29</v>
      </c>
      <c r="M110" s="1" t="s">
        <v>16</v>
      </c>
      <c r="N110">
        <f t="shared" si="7"/>
        <v>45.705298013245034</v>
      </c>
      <c r="O110">
        <f>SUM(E141:E143)</f>
        <v>43</v>
      </c>
    </row>
    <row r="111" spans="1:15">
      <c r="A111">
        <v>2019</v>
      </c>
      <c r="B111" s="1" t="s">
        <v>18</v>
      </c>
      <c r="C111" s="3">
        <v>2020</v>
      </c>
      <c r="D111" s="3">
        <v>1</v>
      </c>
      <c r="E111" s="1" t="s">
        <v>2</v>
      </c>
      <c r="F111" s="1" t="s">
        <v>2</v>
      </c>
      <c r="G111" s="1"/>
      <c r="H111" s="1"/>
      <c r="I111" s="1"/>
      <c r="K111">
        <v>2021</v>
      </c>
      <c r="L111" t="s">
        <v>29</v>
      </c>
      <c r="M111" s="1" t="s">
        <v>17</v>
      </c>
      <c r="N111">
        <f t="shared" si="7"/>
        <v>24.44701986754967</v>
      </c>
      <c r="O111">
        <f>SUM(E144:E146)</f>
        <v>23</v>
      </c>
    </row>
    <row r="112" spans="1:15">
      <c r="A112">
        <v>2019</v>
      </c>
      <c r="B112" s="1" t="s">
        <v>19</v>
      </c>
      <c r="C112" s="3">
        <v>2019</v>
      </c>
      <c r="D112" s="3">
        <v>96</v>
      </c>
      <c r="E112" s="3">
        <v>3</v>
      </c>
      <c r="F112" s="1" t="s">
        <v>2</v>
      </c>
      <c r="G112" s="1"/>
      <c r="H112" s="1"/>
      <c r="I112" s="1"/>
      <c r="K112">
        <v>2021</v>
      </c>
      <c r="L112" t="s">
        <v>29</v>
      </c>
      <c r="M112" s="1" t="s">
        <v>18</v>
      </c>
      <c r="N112">
        <f t="shared" si="7"/>
        <v>17.006622516556291</v>
      </c>
      <c r="O112">
        <f>SUM(E147:E148)</f>
        <v>16</v>
      </c>
    </row>
    <row r="113" spans="1:15">
      <c r="A113">
        <v>2019</v>
      </c>
      <c r="B113" s="1" t="s">
        <v>20</v>
      </c>
      <c r="C113" s="3">
        <v>2019</v>
      </c>
      <c r="D113" s="3">
        <v>43</v>
      </c>
      <c r="E113" s="3">
        <v>5</v>
      </c>
      <c r="F113" s="1" t="s">
        <v>2</v>
      </c>
      <c r="G113" s="1"/>
      <c r="H113" s="1"/>
      <c r="I113" s="1"/>
      <c r="K113">
        <v>2021</v>
      </c>
      <c r="L113" t="s">
        <v>29</v>
      </c>
      <c r="M113" s="1" t="s">
        <v>19</v>
      </c>
      <c r="N113">
        <f t="shared" si="7"/>
        <v>14.880794701986755</v>
      </c>
      <c r="O113">
        <f>E149</f>
        <v>14</v>
      </c>
    </row>
    <row r="114" spans="1:15">
      <c r="A114">
        <v>2019</v>
      </c>
      <c r="B114" s="1" t="s">
        <v>20</v>
      </c>
      <c r="C114" s="3">
        <v>2020</v>
      </c>
      <c r="D114" s="3">
        <v>1</v>
      </c>
      <c r="E114" s="1" t="s">
        <v>2</v>
      </c>
      <c r="F114" s="1" t="s">
        <v>2</v>
      </c>
      <c r="G114" s="1"/>
      <c r="H114" s="1"/>
      <c r="I114" s="1"/>
      <c r="K114">
        <v>2021</v>
      </c>
      <c r="L114" t="s">
        <v>29</v>
      </c>
      <c r="M114" s="1" t="s">
        <v>20</v>
      </c>
      <c r="N114">
        <f t="shared" si="7"/>
        <v>4.2516556291390728</v>
      </c>
      <c r="O114">
        <f>E150</f>
        <v>4</v>
      </c>
    </row>
    <row r="115" spans="1:15">
      <c r="A115">
        <v>2019</v>
      </c>
      <c r="B115" s="1" t="s">
        <v>21</v>
      </c>
      <c r="C115" s="3">
        <v>2019</v>
      </c>
      <c r="D115" s="3">
        <v>29</v>
      </c>
      <c r="E115" s="3">
        <v>4</v>
      </c>
      <c r="F115" s="1" t="s">
        <v>2</v>
      </c>
      <c r="G115" s="1"/>
      <c r="H115" s="1"/>
      <c r="I115" s="1"/>
      <c r="K115">
        <v>2021</v>
      </c>
      <c r="L115" t="s">
        <v>29</v>
      </c>
      <c r="M115" s="1" t="s">
        <v>21</v>
      </c>
      <c r="N115">
        <f t="shared" si="7"/>
        <v>3.1887417218543046</v>
      </c>
      <c r="O115">
        <f>E151</f>
        <v>3</v>
      </c>
    </row>
    <row r="116" spans="1:15">
      <c r="A116">
        <v>2019</v>
      </c>
      <c r="B116" s="1" t="s">
        <v>22</v>
      </c>
      <c r="C116" s="3">
        <v>2019</v>
      </c>
      <c r="D116" s="3">
        <v>14</v>
      </c>
      <c r="E116" s="3">
        <v>2</v>
      </c>
      <c r="F116" s="1" t="s">
        <v>2</v>
      </c>
      <c r="G116" s="1"/>
      <c r="H116" s="1"/>
      <c r="I116" s="1"/>
      <c r="K116">
        <v>2021</v>
      </c>
      <c r="L116" t="s">
        <v>29</v>
      </c>
      <c r="M116" s="1" t="s">
        <v>22</v>
      </c>
      <c r="N116">
        <f t="shared" si="7"/>
        <v>2.1258278145695364</v>
      </c>
      <c r="O116">
        <f>E152</f>
        <v>2</v>
      </c>
    </row>
    <row r="117" spans="1:15">
      <c r="A117">
        <v>2019</v>
      </c>
      <c r="B117" s="1" t="s">
        <v>22</v>
      </c>
      <c r="C117" s="3">
        <v>2020</v>
      </c>
      <c r="D117" s="3">
        <v>2</v>
      </c>
      <c r="E117" s="1" t="s">
        <v>2</v>
      </c>
      <c r="F117" s="1" t="s">
        <v>2</v>
      </c>
      <c r="G117" s="1"/>
      <c r="H117" s="1"/>
      <c r="I117" s="1"/>
      <c r="K117">
        <v>2021</v>
      </c>
      <c r="L117" t="s">
        <v>29</v>
      </c>
      <c r="M117" s="1" t="s">
        <v>23</v>
      </c>
      <c r="N117">
        <f t="shared" si="7"/>
        <v>2.1258278145695364</v>
      </c>
      <c r="O117">
        <f>E153</f>
        <v>2</v>
      </c>
    </row>
    <row r="118" spans="1:15">
      <c r="A118">
        <v>2019</v>
      </c>
      <c r="B118" s="1" t="s">
        <v>23</v>
      </c>
      <c r="C118" s="3">
        <v>2019</v>
      </c>
      <c r="D118" s="3">
        <v>8</v>
      </c>
      <c r="E118" s="3">
        <v>1</v>
      </c>
      <c r="F118" s="1" t="s">
        <v>2</v>
      </c>
      <c r="G118" s="1"/>
      <c r="H118" s="1"/>
      <c r="I118" s="1"/>
      <c r="K118">
        <v>2021</v>
      </c>
      <c r="L118" t="s">
        <v>29</v>
      </c>
      <c r="M118" s="1" t="s">
        <v>24</v>
      </c>
      <c r="N118">
        <f t="shared" si="7"/>
        <v>2.1258278145695364</v>
      </c>
      <c r="O118">
        <f>E154</f>
        <v>2</v>
      </c>
    </row>
    <row r="119" spans="1:15">
      <c r="A119">
        <v>2019</v>
      </c>
      <c r="B119" s="1" t="s">
        <v>24</v>
      </c>
      <c r="C119" s="3">
        <v>2019</v>
      </c>
      <c r="D119" s="3">
        <v>6</v>
      </c>
      <c r="E119" s="3">
        <v>1</v>
      </c>
      <c r="F119" s="1" t="s">
        <v>2</v>
      </c>
      <c r="G119" s="1"/>
      <c r="H119" s="1"/>
      <c r="I119" s="1"/>
      <c r="K119">
        <v>2021</v>
      </c>
      <c r="L119" t="s">
        <v>29</v>
      </c>
      <c r="M119" s="1" t="s">
        <v>25</v>
      </c>
      <c r="N119">
        <f t="shared" si="7"/>
        <v>0</v>
      </c>
      <c r="O119">
        <v>0</v>
      </c>
    </row>
    <row r="120" spans="1:15">
      <c r="A120">
        <v>2019</v>
      </c>
      <c r="B120" s="1" t="s">
        <v>25</v>
      </c>
      <c r="C120" s="3">
        <v>2019</v>
      </c>
      <c r="D120" s="3">
        <v>2</v>
      </c>
      <c r="E120" s="3">
        <v>1</v>
      </c>
      <c r="F120" s="1" t="s">
        <v>2</v>
      </c>
      <c r="G120" s="1"/>
      <c r="H120" s="1"/>
      <c r="I120" s="1"/>
      <c r="K120">
        <v>2021</v>
      </c>
      <c r="L120" t="s">
        <v>29</v>
      </c>
      <c r="M120" s="1" t="s">
        <v>26</v>
      </c>
      <c r="N120">
        <f t="shared" si="7"/>
        <v>1.0629139072847682</v>
      </c>
      <c r="O120">
        <f>E156</f>
        <v>1</v>
      </c>
    </row>
    <row r="121" spans="1:15">
      <c r="A121">
        <v>2019</v>
      </c>
      <c r="B121" s="1" t="s">
        <v>26</v>
      </c>
      <c r="C121" s="3">
        <v>2019</v>
      </c>
      <c r="D121" s="3">
        <v>1</v>
      </c>
      <c r="E121" s="1" t="s">
        <v>2</v>
      </c>
      <c r="F121" s="1" t="s">
        <v>2</v>
      </c>
      <c r="G121" s="1"/>
      <c r="H121" s="1"/>
      <c r="I121" s="1"/>
    </row>
    <row r="122" spans="1:15">
      <c r="A122">
        <v>2019</v>
      </c>
      <c r="B122" s="1" t="s">
        <v>6</v>
      </c>
      <c r="C122" s="3">
        <v>2019</v>
      </c>
      <c r="D122" s="3">
        <v>2</v>
      </c>
      <c r="E122" s="1" t="s">
        <v>2</v>
      </c>
      <c r="F122" s="1" t="s">
        <v>2</v>
      </c>
      <c r="G122" s="1"/>
      <c r="H122" s="1"/>
      <c r="I122" s="1"/>
    </row>
    <row r="123" spans="1:15">
      <c r="A123">
        <v>2021</v>
      </c>
      <c r="B123" s="1" t="s">
        <v>7</v>
      </c>
      <c r="C123" s="3">
        <v>2021</v>
      </c>
      <c r="D123" s="4">
        <v>2235</v>
      </c>
      <c r="E123" s="3">
        <v>320</v>
      </c>
      <c r="F123" s="1" t="s">
        <v>2</v>
      </c>
      <c r="G123" s="1"/>
      <c r="H123" s="1"/>
      <c r="I123" s="1"/>
    </row>
    <row r="124" spans="1:15">
      <c r="A124">
        <v>2021</v>
      </c>
      <c r="B124" s="1" t="s">
        <v>7</v>
      </c>
      <c r="C124" s="3">
        <v>2022</v>
      </c>
      <c r="D124" s="3">
        <v>10</v>
      </c>
      <c r="E124" s="3">
        <v>1</v>
      </c>
      <c r="F124" s="1" t="s">
        <v>2</v>
      </c>
      <c r="G124" s="1"/>
      <c r="H124" s="1"/>
      <c r="I124" s="1"/>
    </row>
    <row r="125" spans="1:15">
      <c r="A125">
        <v>2021</v>
      </c>
      <c r="B125" s="1" t="s">
        <v>7</v>
      </c>
      <c r="C125" s="3">
        <v>2023</v>
      </c>
      <c r="D125" s="3">
        <v>10</v>
      </c>
      <c r="E125" s="1" t="s">
        <v>2</v>
      </c>
      <c r="F125" s="1" t="s">
        <v>2</v>
      </c>
      <c r="G125" s="1"/>
      <c r="H125" s="1"/>
      <c r="I125" s="1"/>
    </row>
    <row r="126" spans="1:15">
      <c r="A126">
        <v>2021</v>
      </c>
      <c r="B126" s="1" t="s">
        <v>7</v>
      </c>
      <c r="C126" s="3">
        <v>2024</v>
      </c>
      <c r="D126" s="3">
        <v>1</v>
      </c>
      <c r="E126" s="1" t="s">
        <v>2</v>
      </c>
      <c r="F126" s="1" t="s">
        <v>2</v>
      </c>
      <c r="G126" s="1"/>
      <c r="H126" s="1"/>
      <c r="I126" s="1"/>
    </row>
    <row r="127" spans="1:15">
      <c r="A127">
        <v>2021</v>
      </c>
      <c r="B127" s="1" t="s">
        <v>8</v>
      </c>
      <c r="C127" s="3">
        <v>2021</v>
      </c>
      <c r="D127" s="3">
        <v>1</v>
      </c>
      <c r="E127" s="3">
        <v>1</v>
      </c>
      <c r="F127" s="1" t="s">
        <v>2</v>
      </c>
      <c r="G127" s="1"/>
      <c r="H127" s="1"/>
      <c r="I127" s="1"/>
    </row>
    <row r="128" spans="1:15">
      <c r="A128">
        <v>2021</v>
      </c>
      <c r="B128" s="1" t="s">
        <v>9</v>
      </c>
      <c r="C128" s="3">
        <v>2021</v>
      </c>
      <c r="D128" s="3">
        <v>2</v>
      </c>
      <c r="E128" s="3">
        <v>2</v>
      </c>
      <c r="F128" s="1" t="s">
        <v>2</v>
      </c>
      <c r="G128" s="1"/>
      <c r="H128" s="1"/>
      <c r="I128" s="1"/>
    </row>
    <row r="129" spans="1:9">
      <c r="A129">
        <v>2021</v>
      </c>
      <c r="B129" s="1" t="s">
        <v>10</v>
      </c>
      <c r="C129" s="3">
        <v>2021</v>
      </c>
      <c r="D129" s="3">
        <v>3</v>
      </c>
      <c r="E129" s="3">
        <v>2</v>
      </c>
      <c r="F129" s="1" t="s">
        <v>2</v>
      </c>
      <c r="G129" s="1"/>
      <c r="H129" s="1"/>
      <c r="I129" s="1"/>
    </row>
    <row r="130" spans="1:9">
      <c r="A130">
        <v>2021</v>
      </c>
      <c r="B130" s="1" t="s">
        <v>11</v>
      </c>
      <c r="C130" s="3">
        <v>2021</v>
      </c>
      <c r="D130" s="3">
        <v>8</v>
      </c>
      <c r="E130" s="3">
        <v>4</v>
      </c>
      <c r="F130" s="1" t="s">
        <v>2</v>
      </c>
      <c r="G130" s="1"/>
      <c r="H130" s="1"/>
      <c r="I130" s="1"/>
    </row>
    <row r="131" spans="1:9">
      <c r="A131">
        <v>2021</v>
      </c>
      <c r="B131" s="1" t="s">
        <v>12</v>
      </c>
      <c r="C131" s="3">
        <v>2021</v>
      </c>
      <c r="D131" s="3">
        <v>155</v>
      </c>
      <c r="E131" s="3">
        <v>18</v>
      </c>
      <c r="F131" s="1" t="s">
        <v>2</v>
      </c>
      <c r="G131" s="1"/>
      <c r="H131" s="1"/>
      <c r="I131" s="1"/>
    </row>
    <row r="132" spans="1:9">
      <c r="A132">
        <v>2021</v>
      </c>
      <c r="B132" s="1" t="s">
        <v>12</v>
      </c>
      <c r="C132" s="3">
        <v>2022</v>
      </c>
      <c r="D132" s="1" t="s">
        <v>2</v>
      </c>
      <c r="E132" s="3">
        <v>1</v>
      </c>
      <c r="F132" s="1" t="s">
        <v>2</v>
      </c>
      <c r="G132" s="1"/>
      <c r="H132" s="1"/>
      <c r="I132" s="1"/>
    </row>
    <row r="133" spans="1:9">
      <c r="A133">
        <v>2021</v>
      </c>
      <c r="B133" s="1" t="s">
        <v>13</v>
      </c>
      <c r="C133" s="3">
        <v>2021</v>
      </c>
      <c r="D133" s="3">
        <v>317</v>
      </c>
      <c r="E133" s="3">
        <v>57</v>
      </c>
      <c r="F133" s="1" t="s">
        <v>2</v>
      </c>
      <c r="G133" s="1"/>
      <c r="H133" s="1"/>
      <c r="I133" s="1"/>
    </row>
    <row r="134" spans="1:9">
      <c r="A134">
        <v>2021</v>
      </c>
      <c r="B134" s="1" t="s">
        <v>13</v>
      </c>
      <c r="C134" s="3">
        <v>2022</v>
      </c>
      <c r="D134" s="3">
        <v>1</v>
      </c>
      <c r="E134" s="1" t="s">
        <v>2</v>
      </c>
      <c r="F134" s="1" t="s">
        <v>2</v>
      </c>
      <c r="G134" s="1"/>
      <c r="H134" s="1"/>
      <c r="I134" s="1"/>
    </row>
    <row r="135" spans="1:9">
      <c r="A135">
        <v>2021</v>
      </c>
      <c r="B135" s="1" t="s">
        <v>13</v>
      </c>
      <c r="C135" s="3">
        <v>2023</v>
      </c>
      <c r="D135" s="3">
        <v>4</v>
      </c>
      <c r="E135" s="1" t="s">
        <v>2</v>
      </c>
      <c r="F135" s="1" t="s">
        <v>2</v>
      </c>
      <c r="G135" s="1"/>
      <c r="H135" s="1"/>
      <c r="I135" s="1"/>
    </row>
    <row r="136" spans="1:9">
      <c r="A136">
        <v>2021</v>
      </c>
      <c r="B136" s="1" t="s">
        <v>14</v>
      </c>
      <c r="C136" s="3">
        <v>2021</v>
      </c>
      <c r="D136" s="3">
        <v>354</v>
      </c>
      <c r="E136" s="3">
        <v>50</v>
      </c>
      <c r="F136" s="1" t="s">
        <v>2</v>
      </c>
      <c r="G136" s="1"/>
      <c r="H136" s="1"/>
      <c r="I136" s="1"/>
    </row>
    <row r="137" spans="1:9">
      <c r="A137">
        <v>2021</v>
      </c>
      <c r="B137" s="1" t="s">
        <v>14</v>
      </c>
      <c r="C137" s="3">
        <v>2022</v>
      </c>
      <c r="D137" s="3">
        <v>3</v>
      </c>
      <c r="E137" s="1" t="s">
        <v>2</v>
      </c>
      <c r="F137" s="1" t="s">
        <v>2</v>
      </c>
      <c r="G137" s="1"/>
      <c r="H137" s="1"/>
      <c r="I137" s="1"/>
    </row>
    <row r="138" spans="1:9">
      <c r="A138">
        <v>2021</v>
      </c>
      <c r="B138" s="1" t="s">
        <v>14</v>
      </c>
      <c r="C138" s="3">
        <v>2023</v>
      </c>
      <c r="D138" s="3">
        <v>1</v>
      </c>
      <c r="E138" s="1" t="s">
        <v>2</v>
      </c>
      <c r="F138" s="1" t="s">
        <v>2</v>
      </c>
      <c r="G138" s="1"/>
      <c r="H138" s="1"/>
      <c r="I138" s="1"/>
    </row>
    <row r="139" spans="1:9">
      <c r="A139">
        <v>2021</v>
      </c>
      <c r="B139" s="1" t="s">
        <v>15</v>
      </c>
      <c r="C139" s="3">
        <v>2021</v>
      </c>
      <c r="D139" s="3">
        <v>342</v>
      </c>
      <c r="E139" s="3">
        <v>57</v>
      </c>
      <c r="F139" s="1" t="s">
        <v>2</v>
      </c>
      <c r="G139" s="1"/>
      <c r="H139" s="1"/>
      <c r="I139" s="1"/>
    </row>
    <row r="140" spans="1:9">
      <c r="A140">
        <v>2021</v>
      </c>
      <c r="B140" s="1" t="s">
        <v>15</v>
      </c>
      <c r="C140" s="3">
        <v>2023</v>
      </c>
      <c r="D140" s="3">
        <v>1</v>
      </c>
      <c r="E140" s="1" t="s">
        <v>2</v>
      </c>
      <c r="F140" s="1" t="s">
        <v>2</v>
      </c>
      <c r="G140" s="1"/>
      <c r="H140" s="1"/>
      <c r="I140" s="1"/>
    </row>
    <row r="141" spans="1:9">
      <c r="A141">
        <v>2021</v>
      </c>
      <c r="B141" s="1" t="s">
        <v>16</v>
      </c>
      <c r="C141" s="3">
        <v>2021</v>
      </c>
      <c r="D141" s="3">
        <v>286</v>
      </c>
      <c r="E141" s="3">
        <v>43</v>
      </c>
      <c r="F141" s="1" t="s">
        <v>2</v>
      </c>
      <c r="G141" s="1"/>
      <c r="H141" s="1"/>
      <c r="I141" s="1"/>
    </row>
    <row r="142" spans="1:9">
      <c r="A142">
        <v>2021</v>
      </c>
      <c r="B142" s="1" t="s">
        <v>16</v>
      </c>
      <c r="C142" s="3">
        <v>2023</v>
      </c>
      <c r="D142" s="3">
        <v>3</v>
      </c>
      <c r="E142" s="1" t="s">
        <v>2</v>
      </c>
      <c r="F142" s="1" t="s">
        <v>2</v>
      </c>
      <c r="G142" s="1"/>
      <c r="H142" s="1"/>
      <c r="I142" s="1"/>
    </row>
    <row r="143" spans="1:9">
      <c r="A143">
        <v>2021</v>
      </c>
      <c r="B143" s="1" t="s">
        <v>16</v>
      </c>
      <c r="C143" s="3">
        <v>2024</v>
      </c>
      <c r="D143" s="3">
        <v>1</v>
      </c>
      <c r="E143" s="1" t="s">
        <v>2</v>
      </c>
      <c r="F143" s="1" t="s">
        <v>2</v>
      </c>
      <c r="G143" s="1"/>
      <c r="H143" s="1"/>
      <c r="I143" s="1"/>
    </row>
    <row r="144" spans="1:9">
      <c r="A144">
        <v>2021</v>
      </c>
      <c r="B144" s="1" t="s">
        <v>17</v>
      </c>
      <c r="C144" s="3">
        <v>2021</v>
      </c>
      <c r="D144" s="3">
        <v>240</v>
      </c>
      <c r="E144" s="3">
        <v>23</v>
      </c>
      <c r="F144" s="1" t="s">
        <v>2</v>
      </c>
      <c r="G144" s="1"/>
      <c r="H144" s="1"/>
      <c r="I144" s="1"/>
    </row>
    <row r="145" spans="1:9">
      <c r="A145">
        <v>2021</v>
      </c>
      <c r="B145" s="1" t="s">
        <v>17</v>
      </c>
      <c r="C145" s="3">
        <v>2022</v>
      </c>
      <c r="D145" s="3">
        <v>4</v>
      </c>
      <c r="E145" s="1" t="s">
        <v>2</v>
      </c>
      <c r="F145" s="1" t="s">
        <v>2</v>
      </c>
      <c r="G145" s="1"/>
      <c r="H145" s="1"/>
      <c r="I145" s="1"/>
    </row>
    <row r="146" spans="1:9">
      <c r="A146">
        <v>2021</v>
      </c>
      <c r="B146" s="1" t="s">
        <v>17</v>
      </c>
      <c r="C146" s="3">
        <v>2023</v>
      </c>
      <c r="D146" s="3">
        <v>1</v>
      </c>
      <c r="E146" s="1" t="s">
        <v>2</v>
      </c>
      <c r="F146" s="1" t="s">
        <v>2</v>
      </c>
      <c r="G146" s="1"/>
      <c r="H146" s="1"/>
      <c r="I146" s="1"/>
    </row>
    <row r="147" spans="1:9">
      <c r="A147">
        <v>2021</v>
      </c>
      <c r="B147" s="1" t="s">
        <v>18</v>
      </c>
      <c r="C147" s="3">
        <v>2021</v>
      </c>
      <c r="D147" s="3">
        <v>169</v>
      </c>
      <c r="E147" s="3">
        <v>16</v>
      </c>
      <c r="F147" s="1" t="s">
        <v>2</v>
      </c>
      <c r="G147" s="1"/>
      <c r="H147" s="1"/>
      <c r="I147" s="1"/>
    </row>
    <row r="148" spans="1:9">
      <c r="A148">
        <v>2021</v>
      </c>
      <c r="B148" s="1" t="s">
        <v>18</v>
      </c>
      <c r="C148" s="3">
        <v>2022</v>
      </c>
      <c r="D148" s="3">
        <v>2</v>
      </c>
      <c r="E148" s="1" t="s">
        <v>2</v>
      </c>
      <c r="F148" s="1" t="s">
        <v>2</v>
      </c>
      <c r="G148" s="1"/>
      <c r="H148" s="1"/>
      <c r="I148" s="1"/>
    </row>
    <row r="149" spans="1:9">
      <c r="A149">
        <v>2021</v>
      </c>
      <c r="B149" s="1" t="s">
        <v>19</v>
      </c>
      <c r="C149" s="3">
        <v>2021</v>
      </c>
      <c r="D149" s="3">
        <v>103</v>
      </c>
      <c r="E149" s="3">
        <v>14</v>
      </c>
      <c r="F149" s="1" t="s">
        <v>2</v>
      </c>
      <c r="G149" s="1"/>
      <c r="H149" s="1"/>
      <c r="I149" s="1"/>
    </row>
    <row r="150" spans="1:9">
      <c r="A150">
        <v>2021</v>
      </c>
      <c r="B150" s="1" t="s">
        <v>20</v>
      </c>
      <c r="C150" s="3">
        <v>2021</v>
      </c>
      <c r="D150" s="3">
        <v>61</v>
      </c>
      <c r="E150" s="3">
        <v>4</v>
      </c>
      <c r="F150" s="1" t="s">
        <v>2</v>
      </c>
      <c r="G150" s="1"/>
      <c r="H150" s="1"/>
      <c r="I150" s="1"/>
    </row>
    <row r="151" spans="1:9">
      <c r="A151">
        <v>2021</v>
      </c>
      <c r="B151" s="1" t="s">
        <v>21</v>
      </c>
      <c r="C151" s="3">
        <v>2021</v>
      </c>
      <c r="D151" s="3">
        <v>31</v>
      </c>
      <c r="E151" s="3">
        <v>3</v>
      </c>
      <c r="F151" s="1" t="s">
        <v>2</v>
      </c>
      <c r="G151" s="1"/>
      <c r="H151" s="1"/>
      <c r="I151" s="1"/>
    </row>
    <row r="152" spans="1:9">
      <c r="A152">
        <v>2021</v>
      </c>
      <c r="B152" s="1" t="s">
        <v>22</v>
      </c>
      <c r="C152" s="3">
        <v>2021</v>
      </c>
      <c r="D152" s="3">
        <v>21</v>
      </c>
      <c r="E152" s="3">
        <v>2</v>
      </c>
      <c r="F152" s="1" t="s">
        <v>2</v>
      </c>
      <c r="G152" s="1"/>
      <c r="H152" s="1"/>
      <c r="I152" s="1"/>
    </row>
    <row r="153" spans="1:9">
      <c r="A153">
        <v>2021</v>
      </c>
      <c r="B153" s="1" t="s">
        <v>23</v>
      </c>
      <c r="C153" s="3">
        <v>2021</v>
      </c>
      <c r="D153" s="3">
        <v>16</v>
      </c>
      <c r="E153" s="3">
        <v>2</v>
      </c>
      <c r="F153" s="1" t="s">
        <v>2</v>
      </c>
      <c r="G153" s="1"/>
      <c r="H153" s="1"/>
      <c r="I153" s="1"/>
    </row>
    <row r="154" spans="1:9">
      <c r="A154">
        <v>2021</v>
      </c>
      <c r="B154" s="1" t="s">
        <v>24</v>
      </c>
      <c r="C154" s="3">
        <v>2021</v>
      </c>
      <c r="D154" s="3">
        <v>6</v>
      </c>
      <c r="E154" s="3">
        <v>2</v>
      </c>
      <c r="F154" s="1" t="s">
        <v>2</v>
      </c>
      <c r="G154" s="1"/>
      <c r="H154" s="1"/>
      <c r="I154" s="1"/>
    </row>
    <row r="155" spans="1:9">
      <c r="A155">
        <v>2021</v>
      </c>
      <c r="B155" s="1" t="s">
        <v>25</v>
      </c>
      <c r="C155" s="3">
        <v>2021</v>
      </c>
      <c r="D155" s="3">
        <v>1</v>
      </c>
      <c r="E155" s="1" t="s">
        <v>2</v>
      </c>
      <c r="F155" s="1" t="s">
        <v>2</v>
      </c>
      <c r="G155" s="1"/>
      <c r="H155" s="1"/>
      <c r="I155" s="1"/>
    </row>
    <row r="156" spans="1:9">
      <c r="A156">
        <v>2021</v>
      </c>
      <c r="B156" s="1" t="s">
        <v>26</v>
      </c>
      <c r="C156" s="3">
        <v>2021</v>
      </c>
      <c r="D156" s="3">
        <v>1</v>
      </c>
      <c r="E156" s="3">
        <v>1</v>
      </c>
      <c r="F156" s="1" t="s">
        <v>2</v>
      </c>
      <c r="G156" s="1"/>
      <c r="H156" s="1"/>
      <c r="I156" s="1"/>
    </row>
    <row r="157" spans="1:9">
      <c r="A157">
        <v>2021</v>
      </c>
      <c r="B157" s="1" t="s">
        <v>6</v>
      </c>
      <c r="C157" s="3">
        <v>2021</v>
      </c>
      <c r="D157" s="3">
        <v>118</v>
      </c>
      <c r="E157" s="3">
        <v>19</v>
      </c>
      <c r="F157" s="1" t="s">
        <v>2</v>
      </c>
      <c r="G157" s="1"/>
      <c r="H157" s="1"/>
      <c r="I157" s="1"/>
    </row>
    <row r="158" spans="1:9">
      <c r="B158" s="1"/>
      <c r="C158" s="1"/>
      <c r="D158" s="1"/>
      <c r="E158" s="1"/>
      <c r="F158" s="1"/>
      <c r="G158" s="1"/>
      <c r="H158" s="1"/>
      <c r="I158" s="1"/>
    </row>
    <row r="159" spans="1:9">
      <c r="B159" s="1"/>
      <c r="C159" s="1"/>
      <c r="D159" s="1"/>
      <c r="E159" s="1"/>
      <c r="F159" s="1"/>
      <c r="G159" s="1"/>
      <c r="H159" s="1"/>
      <c r="I159" s="1"/>
    </row>
    <row r="160" spans="1:9">
      <c r="B160" s="1"/>
      <c r="C160" s="1"/>
      <c r="D160" s="1"/>
      <c r="E160" s="1"/>
      <c r="F160" s="1"/>
      <c r="G160" s="1"/>
      <c r="H160" s="1"/>
      <c r="I160" s="1"/>
    </row>
    <row r="161" spans="1:9">
      <c r="A161" t="s">
        <v>27</v>
      </c>
      <c r="B161" s="1"/>
      <c r="C161" s="1"/>
      <c r="D161" s="1"/>
      <c r="E161" s="1"/>
      <c r="F161" s="1"/>
      <c r="G161" s="1"/>
      <c r="H161" s="1"/>
      <c r="I161" s="2"/>
    </row>
    <row r="162" spans="1:9">
      <c r="B162" s="1"/>
      <c r="C162" s="1"/>
      <c r="D162" s="1"/>
      <c r="E162" s="1"/>
      <c r="F162" s="1"/>
      <c r="G162" s="1"/>
      <c r="H162" s="1"/>
      <c r="I162" s="1"/>
    </row>
  </sheetData>
  <mergeCells count="5">
    <mergeCell ref="I1"/>
    <mergeCell ref="I2"/>
    <mergeCell ref="I3"/>
    <mergeCell ref="I4"/>
    <mergeCell ref="I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Hernández Leyva</dc:creator>
  <cp:lastModifiedBy>Maria Isabel Hernández Leyva</cp:lastModifiedBy>
  <dcterms:created xsi:type="dcterms:W3CDTF">2026-06-04T07:58:31Z</dcterms:created>
  <dcterms:modified xsi:type="dcterms:W3CDTF">2026-06-04T07:58:31Z</dcterms:modified>
</cp:coreProperties>
</file>