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be\Documents\Demografia_Proyecto_Final\data\output\"/>
    </mc:Choice>
  </mc:AlternateContent>
  <bookViews>
    <workbookView xWindow="0" yWindow="0" windowWidth="20490" windowHeight="8940"/>
  </bookViews>
  <sheets>
    <sheet name="DM_2019" sheetId="6" r:id="rId1"/>
    <sheet name="DM_2010" sheetId="9" r:id="rId2"/>
    <sheet name="DM_2021" sheetId="12" r:id="rId3"/>
    <sheet name="tabla_mortalidad_hombre_2010" sheetId="7" r:id="rId4"/>
    <sheet name="tabla_mortalidad_mujer_2010" sheetId="8" r:id="rId5"/>
    <sheet name="tabla_mortalidad_hombre_2019" sheetId="2" r:id="rId6"/>
    <sheet name="tabla_mortalidad_mujer_2019" sheetId="3" r:id="rId7"/>
    <sheet name="tabla_mortalidad_hombre_2021" sheetId="10" r:id="rId8"/>
    <sheet name="tabla_mortalidad_mujer_2021" sheetId="11" r:id="rId9"/>
    <sheet name="Defunciones generales" sheetId="4" r:id="rId10"/>
    <sheet name="Homicidios" sheetId="5" r:id="rId11"/>
  </sheets>
  <externalReferences>
    <externalReference r:id="rId12"/>
    <externalReference r:id="rId13"/>
  </externalReferences>
  <definedNames>
    <definedName name="Family">[1]Coefficients!$AI$9:$AI$10</definedName>
    <definedName name="FamSelect">[1]Coefficients!$AJ$8</definedName>
    <definedName name="Princeton">[1]Coefficients!$AI$13:$AI$16</definedName>
    <definedName name="Sex">[1]Coefficients!$AI$29:$AI$31</definedName>
    <definedName name="UN">[1]Coefficients!$AI$17:$AI$21</definedName>
    <definedName name="Variant">[1]Coefficients!$AI$24:$AI$26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12" l="1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27" i="12"/>
  <c r="H28" i="12"/>
  <c r="H29" i="12"/>
  <c r="H30" i="12"/>
  <c r="H31" i="12"/>
  <c r="I31" i="12" s="1"/>
  <c r="H32" i="12"/>
  <c r="H33" i="12"/>
  <c r="H34" i="12"/>
  <c r="H35" i="12"/>
  <c r="I35" i="12" s="1"/>
  <c r="H36" i="12"/>
  <c r="H37" i="12"/>
  <c r="H38" i="12"/>
  <c r="H39" i="12"/>
  <c r="I39" i="12" s="1"/>
  <c r="H40" i="12"/>
  <c r="H41" i="12"/>
  <c r="H42" i="12"/>
  <c r="H43" i="12"/>
  <c r="H44" i="12"/>
  <c r="H45" i="12"/>
  <c r="H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27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4" i="12"/>
  <c r="H5" i="12"/>
  <c r="H6" i="12"/>
  <c r="H7" i="12"/>
  <c r="H8" i="12"/>
  <c r="I8" i="12" s="1"/>
  <c r="H9" i="12"/>
  <c r="H10" i="12"/>
  <c r="H11" i="12"/>
  <c r="H12" i="12"/>
  <c r="I12" i="12" s="1"/>
  <c r="H13" i="12"/>
  <c r="H14" i="12"/>
  <c r="H15" i="12"/>
  <c r="H16" i="12"/>
  <c r="H17" i="12"/>
  <c r="H18" i="12"/>
  <c r="H19" i="12"/>
  <c r="H20" i="12"/>
  <c r="H21" i="12"/>
  <c r="H22" i="12"/>
  <c r="H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4" i="12"/>
  <c r="E5" i="12"/>
  <c r="E6" i="12"/>
  <c r="E7" i="12"/>
  <c r="E8" i="12"/>
  <c r="E9" i="12"/>
  <c r="E10" i="12"/>
  <c r="E11" i="12"/>
  <c r="E12" i="12"/>
  <c r="F12" i="12" s="1"/>
  <c r="E13" i="12"/>
  <c r="E14" i="12"/>
  <c r="E15" i="12"/>
  <c r="E16" i="12"/>
  <c r="E17" i="12"/>
  <c r="E18" i="12"/>
  <c r="E19" i="12"/>
  <c r="E20" i="12"/>
  <c r="E21" i="12"/>
  <c r="E22" i="12"/>
  <c r="E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4" i="12"/>
  <c r="I45" i="12"/>
  <c r="I44" i="12"/>
  <c r="F44" i="12"/>
  <c r="I43" i="12"/>
  <c r="I42" i="12"/>
  <c r="F42" i="12"/>
  <c r="L42" i="12" s="1"/>
  <c r="M42" i="12" s="1"/>
  <c r="I41" i="12"/>
  <c r="I40" i="12"/>
  <c r="F40" i="12"/>
  <c r="I38" i="12"/>
  <c r="F38" i="12"/>
  <c r="L38" i="12" s="1"/>
  <c r="M38" i="12" s="1"/>
  <c r="I37" i="12"/>
  <c r="L37" i="12"/>
  <c r="M37" i="12" s="1"/>
  <c r="F37" i="12"/>
  <c r="I36" i="12"/>
  <c r="F36" i="12"/>
  <c r="I34" i="12"/>
  <c r="F34" i="12"/>
  <c r="I33" i="12"/>
  <c r="F33" i="12"/>
  <c r="V32" i="12"/>
  <c r="I32" i="12"/>
  <c r="F32" i="12"/>
  <c r="I30" i="12"/>
  <c r="F30" i="12"/>
  <c r="I29" i="12"/>
  <c r="F29" i="12"/>
  <c r="I28" i="12"/>
  <c r="AB28" i="12"/>
  <c r="I27" i="12"/>
  <c r="F27" i="12"/>
  <c r="I22" i="12"/>
  <c r="F22" i="12"/>
  <c r="P22" i="12" s="1"/>
  <c r="I21" i="12"/>
  <c r="F21" i="12"/>
  <c r="I20" i="12"/>
  <c r="I19" i="12"/>
  <c r="F19" i="12"/>
  <c r="I18" i="12"/>
  <c r="F18" i="12"/>
  <c r="L18" i="12" s="1"/>
  <c r="M18" i="12" s="1"/>
  <c r="I17" i="12"/>
  <c r="L17" i="12"/>
  <c r="M17" i="12" s="1"/>
  <c r="F17" i="12"/>
  <c r="I16" i="12"/>
  <c r="I15" i="12"/>
  <c r="F15" i="12"/>
  <c r="I14" i="12"/>
  <c r="F14" i="12"/>
  <c r="L14" i="12" s="1"/>
  <c r="M14" i="12" s="1"/>
  <c r="I13" i="12"/>
  <c r="F13" i="12"/>
  <c r="I11" i="12"/>
  <c r="F11" i="12"/>
  <c r="I10" i="12"/>
  <c r="F10" i="12"/>
  <c r="V9" i="12"/>
  <c r="I9" i="12"/>
  <c r="F9" i="12"/>
  <c r="I7" i="12"/>
  <c r="F7" i="12"/>
  <c r="I6" i="12"/>
  <c r="F6" i="12"/>
  <c r="I5" i="12"/>
  <c r="L5" i="12"/>
  <c r="M5" i="12" s="1"/>
  <c r="F5" i="12"/>
  <c r="AA28" i="12"/>
  <c r="I4" i="12"/>
  <c r="F4" i="12"/>
  <c r="F43" i="12" l="1"/>
  <c r="F39" i="12"/>
  <c r="F35" i="12"/>
  <c r="F31" i="12"/>
  <c r="L31" i="12" s="1"/>
  <c r="M31" i="12" s="1"/>
  <c r="L40" i="12"/>
  <c r="M40" i="12" s="1"/>
  <c r="L44" i="12"/>
  <c r="M44" i="12" s="1"/>
  <c r="F20" i="12"/>
  <c r="F16" i="12"/>
  <c r="F8" i="12"/>
  <c r="L9" i="12"/>
  <c r="M9" i="12" s="1"/>
  <c r="L11" i="12"/>
  <c r="M11" i="12" s="1"/>
  <c r="L13" i="12"/>
  <c r="M13" i="12" s="1"/>
  <c r="L4" i="12"/>
  <c r="M4" i="12" s="1"/>
  <c r="O4" i="12" s="1"/>
  <c r="P5" i="12"/>
  <c r="L6" i="12"/>
  <c r="M6" i="12" s="1"/>
  <c r="P6" i="12" s="1"/>
  <c r="L10" i="12"/>
  <c r="M10" i="12" s="1"/>
  <c r="L7" i="12"/>
  <c r="M7" i="12" s="1"/>
  <c r="L8" i="12"/>
  <c r="M8" i="12" s="1"/>
  <c r="F28" i="12"/>
  <c r="L33" i="12"/>
  <c r="M33" i="12" s="1"/>
  <c r="L34" i="12"/>
  <c r="M34" i="12" s="1"/>
  <c r="F41" i="12"/>
  <c r="L41" i="12" s="1"/>
  <c r="M41" i="12" s="1"/>
  <c r="L21" i="12"/>
  <c r="M21" i="12" s="1"/>
  <c r="P21" i="12" s="1"/>
  <c r="L22" i="12"/>
  <c r="M22" i="12" s="1"/>
  <c r="L32" i="12"/>
  <c r="M32" i="12" s="1"/>
  <c r="P44" i="12"/>
  <c r="F45" i="12"/>
  <c r="P45" i="12" s="1"/>
  <c r="L15" i="12"/>
  <c r="M15" i="12" s="1"/>
  <c r="L19" i="12"/>
  <c r="M19" i="12" s="1"/>
  <c r="L27" i="12"/>
  <c r="L30" i="12"/>
  <c r="M30" i="12" s="1"/>
  <c r="L35" i="12"/>
  <c r="M35" i="12" s="1"/>
  <c r="L39" i="12"/>
  <c r="M39" i="12" s="1"/>
  <c r="L43" i="12"/>
  <c r="M43" i="12" s="1"/>
  <c r="L12" i="12"/>
  <c r="M12" i="12" s="1"/>
  <c r="L16" i="12"/>
  <c r="M16" i="12" s="1"/>
  <c r="L20" i="12"/>
  <c r="M20" i="12" s="1"/>
  <c r="L29" i="12"/>
  <c r="M29" i="12" s="1"/>
  <c r="P29" i="12" s="1"/>
  <c r="L36" i="12"/>
  <c r="M36" i="12" s="1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27" i="9"/>
  <c r="H28" i="9"/>
  <c r="H29" i="9"/>
  <c r="H30" i="9"/>
  <c r="H31" i="9"/>
  <c r="I31" i="9" s="1"/>
  <c r="H32" i="9"/>
  <c r="H33" i="9"/>
  <c r="H34" i="9"/>
  <c r="H35" i="9"/>
  <c r="I35" i="9" s="1"/>
  <c r="H36" i="9"/>
  <c r="H37" i="9"/>
  <c r="H38" i="9"/>
  <c r="H39" i="9"/>
  <c r="I39" i="9" s="1"/>
  <c r="H40" i="9"/>
  <c r="H41" i="9"/>
  <c r="H42" i="9"/>
  <c r="H43" i="9"/>
  <c r="H44" i="9"/>
  <c r="H45" i="9"/>
  <c r="H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F43" i="9" s="1"/>
  <c r="E44" i="9"/>
  <c r="E45" i="9"/>
  <c r="E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27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4" i="9"/>
  <c r="H5" i="9"/>
  <c r="H6" i="9"/>
  <c r="H7" i="9"/>
  <c r="H8" i="9"/>
  <c r="H9" i="9"/>
  <c r="H10" i="9"/>
  <c r="H11" i="9"/>
  <c r="H12" i="9"/>
  <c r="I12" i="9" s="1"/>
  <c r="H13" i="9"/>
  <c r="H14" i="9"/>
  <c r="H15" i="9"/>
  <c r="H16" i="9"/>
  <c r="H17" i="9"/>
  <c r="H18" i="9"/>
  <c r="H19" i="9"/>
  <c r="H20" i="9"/>
  <c r="I20" i="9" s="1"/>
  <c r="H21" i="9"/>
  <c r="H22" i="9"/>
  <c r="H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4" i="9"/>
  <c r="E5" i="9"/>
  <c r="E6" i="9"/>
  <c r="E7" i="9"/>
  <c r="E8" i="9"/>
  <c r="F8" i="9" s="1"/>
  <c r="E9" i="9"/>
  <c r="E10" i="9"/>
  <c r="E11" i="9"/>
  <c r="E12" i="9"/>
  <c r="E13" i="9"/>
  <c r="E14" i="9"/>
  <c r="E15" i="9"/>
  <c r="E16" i="9"/>
  <c r="E17" i="9"/>
  <c r="E18" i="9"/>
  <c r="E19" i="9"/>
  <c r="E20" i="9"/>
  <c r="F20" i="9" s="1"/>
  <c r="E21" i="9"/>
  <c r="E22" i="9"/>
  <c r="E4" i="9"/>
  <c r="D5" i="9"/>
  <c r="D6" i="9"/>
  <c r="D7" i="9"/>
  <c r="D8" i="9"/>
  <c r="D9" i="9"/>
  <c r="D10" i="9"/>
  <c r="D11" i="9"/>
  <c r="D12" i="9"/>
  <c r="D13" i="9"/>
  <c r="D14" i="9"/>
  <c r="D15" i="9"/>
  <c r="F15" i="9" s="1"/>
  <c r="D16" i="9"/>
  <c r="D17" i="9"/>
  <c r="D18" i="9"/>
  <c r="D19" i="9"/>
  <c r="D20" i="9"/>
  <c r="D21" i="9"/>
  <c r="D22" i="9"/>
  <c r="D4" i="9"/>
  <c r="I45" i="9"/>
  <c r="I44" i="9"/>
  <c r="F44" i="9"/>
  <c r="I43" i="9"/>
  <c r="I42" i="9"/>
  <c r="F42" i="9"/>
  <c r="I41" i="9"/>
  <c r="F41" i="9"/>
  <c r="I40" i="9"/>
  <c r="F40" i="9"/>
  <c r="I38" i="9"/>
  <c r="F38" i="9"/>
  <c r="I37" i="9"/>
  <c r="I36" i="9"/>
  <c r="F36" i="9"/>
  <c r="I34" i="9"/>
  <c r="F34" i="9"/>
  <c r="I33" i="9"/>
  <c r="F33" i="9"/>
  <c r="V32" i="9"/>
  <c r="I32" i="9"/>
  <c r="F32" i="9"/>
  <c r="I30" i="9"/>
  <c r="F30" i="9"/>
  <c r="I29" i="9"/>
  <c r="F29" i="9"/>
  <c r="I28" i="9"/>
  <c r="F28" i="9"/>
  <c r="AB28" i="9"/>
  <c r="I27" i="9"/>
  <c r="F27" i="9"/>
  <c r="I22" i="9"/>
  <c r="F22" i="9"/>
  <c r="P22" i="9" s="1"/>
  <c r="I21" i="9"/>
  <c r="I19" i="9"/>
  <c r="F19" i="9"/>
  <c r="I18" i="9"/>
  <c r="F18" i="9"/>
  <c r="I17" i="9"/>
  <c r="I16" i="9"/>
  <c r="I15" i="9"/>
  <c r="I14" i="9"/>
  <c r="F14" i="9"/>
  <c r="I13" i="9"/>
  <c r="I11" i="9"/>
  <c r="F11" i="9"/>
  <c r="L10" i="9"/>
  <c r="M10" i="9" s="1"/>
  <c r="F10" i="9"/>
  <c r="V9" i="9"/>
  <c r="I9" i="9"/>
  <c r="F9" i="9"/>
  <c r="I7" i="9"/>
  <c r="F7" i="9"/>
  <c r="I6" i="9"/>
  <c r="F6" i="9"/>
  <c r="I5" i="9"/>
  <c r="F5" i="9"/>
  <c r="AA28" i="9"/>
  <c r="I4" i="9"/>
  <c r="F4" i="9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27" i="6"/>
  <c r="H28" i="6"/>
  <c r="H29" i="6"/>
  <c r="H30" i="6"/>
  <c r="H31" i="6"/>
  <c r="I31" i="6" s="1"/>
  <c r="H32" i="6"/>
  <c r="H33" i="6"/>
  <c r="H34" i="6"/>
  <c r="H35" i="6"/>
  <c r="I35" i="6" s="1"/>
  <c r="H36" i="6"/>
  <c r="H37" i="6"/>
  <c r="H38" i="6"/>
  <c r="H39" i="6"/>
  <c r="H40" i="6"/>
  <c r="H41" i="6"/>
  <c r="H42" i="6"/>
  <c r="H43" i="6"/>
  <c r="H44" i="6"/>
  <c r="H45" i="6"/>
  <c r="H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27" i="6"/>
  <c r="E28" i="6"/>
  <c r="E29" i="6"/>
  <c r="E30" i="6"/>
  <c r="E31" i="6"/>
  <c r="F31" i="6" s="1"/>
  <c r="E32" i="6"/>
  <c r="E33" i="6"/>
  <c r="E34" i="6"/>
  <c r="E35" i="6"/>
  <c r="E36" i="6"/>
  <c r="E37" i="6"/>
  <c r="E38" i="6"/>
  <c r="E39" i="6"/>
  <c r="E40" i="6"/>
  <c r="E41" i="6"/>
  <c r="E42" i="6"/>
  <c r="E43" i="6"/>
  <c r="F43" i="6" s="1"/>
  <c r="E44" i="6"/>
  <c r="E45" i="6"/>
  <c r="E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F45" i="6" s="1"/>
  <c r="D27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4" i="6"/>
  <c r="H5" i="6"/>
  <c r="H6" i="6"/>
  <c r="H7" i="6"/>
  <c r="I7" i="6" s="1"/>
  <c r="H8" i="6"/>
  <c r="I8" i="6" s="1"/>
  <c r="H9" i="6"/>
  <c r="H10" i="6"/>
  <c r="H11" i="6"/>
  <c r="I11" i="6" s="1"/>
  <c r="H12" i="6"/>
  <c r="I12" i="6" s="1"/>
  <c r="H13" i="6"/>
  <c r="H14" i="6"/>
  <c r="H15" i="6"/>
  <c r="H16" i="6"/>
  <c r="I16" i="6" s="1"/>
  <c r="H17" i="6"/>
  <c r="H18" i="6"/>
  <c r="H19" i="6"/>
  <c r="I19" i="6" s="1"/>
  <c r="H20" i="6"/>
  <c r="I20" i="6" s="1"/>
  <c r="H21" i="6"/>
  <c r="H22" i="6"/>
  <c r="H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4" i="6"/>
  <c r="I45" i="6"/>
  <c r="I44" i="6"/>
  <c r="F44" i="6"/>
  <c r="I43" i="6"/>
  <c r="I42" i="6"/>
  <c r="L42" i="6"/>
  <c r="M42" i="6" s="1"/>
  <c r="F42" i="6"/>
  <c r="I41" i="6"/>
  <c r="F41" i="6"/>
  <c r="I40" i="6"/>
  <c r="F40" i="6"/>
  <c r="I39" i="6"/>
  <c r="F38" i="6"/>
  <c r="I37" i="6"/>
  <c r="F37" i="6"/>
  <c r="I36" i="6"/>
  <c r="F36" i="6"/>
  <c r="I34" i="6"/>
  <c r="F34" i="6"/>
  <c r="I33" i="6"/>
  <c r="F33" i="6"/>
  <c r="V32" i="6"/>
  <c r="I32" i="6"/>
  <c r="F32" i="6"/>
  <c r="F30" i="6"/>
  <c r="I29" i="6"/>
  <c r="F29" i="6"/>
  <c r="AB28" i="6"/>
  <c r="I28" i="6"/>
  <c r="F28" i="6"/>
  <c r="I27" i="6"/>
  <c r="F27" i="6"/>
  <c r="I22" i="6"/>
  <c r="F22" i="6"/>
  <c r="P22" i="6" s="1"/>
  <c r="I21" i="6"/>
  <c r="F21" i="6"/>
  <c r="F19" i="6"/>
  <c r="L19" i="6" s="1"/>
  <c r="M19" i="6" s="1"/>
  <c r="I18" i="6"/>
  <c r="I17" i="6"/>
  <c r="F17" i="6"/>
  <c r="I15" i="6"/>
  <c r="F15" i="6"/>
  <c r="I14" i="6"/>
  <c r="I13" i="6"/>
  <c r="F13" i="6"/>
  <c r="F11" i="6"/>
  <c r="F10" i="6"/>
  <c r="V9" i="6"/>
  <c r="I9" i="6"/>
  <c r="F9" i="6"/>
  <c r="F8" i="6"/>
  <c r="F7" i="6"/>
  <c r="I6" i="6"/>
  <c r="F6" i="6"/>
  <c r="I5" i="6"/>
  <c r="F5" i="6"/>
  <c r="AA28" i="6"/>
  <c r="I4" i="6"/>
  <c r="F4" i="6"/>
  <c r="O120" i="5"/>
  <c r="N120" i="5" s="1"/>
  <c r="O118" i="5"/>
  <c r="N118" i="5" s="1"/>
  <c r="O117" i="5"/>
  <c r="O116" i="5"/>
  <c r="N116" i="5" s="1"/>
  <c r="O115" i="5"/>
  <c r="O114" i="5"/>
  <c r="N114" i="5" s="1"/>
  <c r="O113" i="5"/>
  <c r="O112" i="5"/>
  <c r="N112" i="5" s="1"/>
  <c r="O111" i="5"/>
  <c r="O110" i="5"/>
  <c r="N110" i="5" s="1"/>
  <c r="O109" i="5"/>
  <c r="O108" i="5"/>
  <c r="N108" i="5" s="1"/>
  <c r="O107" i="5"/>
  <c r="O106" i="5"/>
  <c r="N106" i="5" s="1"/>
  <c r="O105" i="5"/>
  <c r="O104" i="5"/>
  <c r="N104" i="5" s="1"/>
  <c r="O103" i="5"/>
  <c r="O102" i="5"/>
  <c r="N102" i="5" s="1"/>
  <c r="O100" i="5"/>
  <c r="N100" i="5"/>
  <c r="O99" i="5"/>
  <c r="O98" i="5"/>
  <c r="N98" i="5"/>
  <c r="O97" i="5"/>
  <c r="O96" i="5"/>
  <c r="N96" i="5"/>
  <c r="O95" i="5"/>
  <c r="O94" i="5"/>
  <c r="N94" i="5"/>
  <c r="O93" i="5"/>
  <c r="O92" i="5"/>
  <c r="N92" i="5"/>
  <c r="O91" i="5"/>
  <c r="O90" i="5"/>
  <c r="N90" i="5"/>
  <c r="O89" i="5"/>
  <c r="O88" i="5"/>
  <c r="N88" i="5"/>
  <c r="O87" i="5"/>
  <c r="O86" i="5"/>
  <c r="N86" i="5"/>
  <c r="O85" i="5"/>
  <c r="O84" i="5"/>
  <c r="N83" i="5" s="1"/>
  <c r="N84" i="5"/>
  <c r="O82" i="5"/>
  <c r="O81" i="5"/>
  <c r="N81" i="5" s="1"/>
  <c r="O80" i="5"/>
  <c r="O79" i="5"/>
  <c r="N79" i="5" s="1"/>
  <c r="O78" i="5"/>
  <c r="O77" i="5"/>
  <c r="N77" i="5" s="1"/>
  <c r="O76" i="5"/>
  <c r="O75" i="5"/>
  <c r="N75" i="5" s="1"/>
  <c r="O74" i="5"/>
  <c r="O73" i="5"/>
  <c r="N73" i="5" s="1"/>
  <c r="O72" i="5"/>
  <c r="O71" i="5"/>
  <c r="N71" i="5" s="1"/>
  <c r="O70" i="5"/>
  <c r="O69" i="5"/>
  <c r="N69" i="5" s="1"/>
  <c r="O68" i="5"/>
  <c r="O67" i="5"/>
  <c r="N67" i="5" s="1"/>
  <c r="O66" i="5"/>
  <c r="O65" i="5"/>
  <c r="N65" i="5" s="1"/>
  <c r="O64" i="5"/>
  <c r="O63" i="5"/>
  <c r="N63" i="5" s="1"/>
  <c r="O62" i="5"/>
  <c r="O61" i="5"/>
  <c r="N61" i="5" s="1"/>
  <c r="O60" i="5"/>
  <c r="O59" i="5"/>
  <c r="N59" i="5" s="1"/>
  <c r="O58" i="5"/>
  <c r="O57" i="5"/>
  <c r="N57" i="5" s="1"/>
  <c r="O56" i="5"/>
  <c r="O55" i="5"/>
  <c r="N55" i="5" s="1"/>
  <c r="O54" i="5"/>
  <c r="O53" i="5"/>
  <c r="N53" i="5" s="1"/>
  <c r="O52" i="5"/>
  <c r="O51" i="5"/>
  <c r="N51" i="5" s="1"/>
  <c r="O50" i="5"/>
  <c r="O49" i="5"/>
  <c r="N49" i="5" s="1"/>
  <c r="O48" i="5"/>
  <c r="O47" i="5"/>
  <c r="N47" i="5" s="1"/>
  <c r="O46" i="5"/>
  <c r="O45" i="5"/>
  <c r="N45" i="5" s="1"/>
  <c r="O44" i="5"/>
  <c r="O43" i="5"/>
  <c r="N43" i="5" s="1"/>
  <c r="O42" i="5"/>
  <c r="O41" i="5"/>
  <c r="N41" i="5" s="1"/>
  <c r="O40" i="5"/>
  <c r="O39" i="5"/>
  <c r="N39" i="5" s="1"/>
  <c r="O38" i="5"/>
  <c r="O37" i="5"/>
  <c r="N37" i="5" s="1"/>
  <c r="O36" i="5"/>
  <c r="O35" i="5"/>
  <c r="N35" i="5" s="1"/>
  <c r="O34" i="5"/>
  <c r="O33" i="5"/>
  <c r="N33" i="5" s="1"/>
  <c r="O32" i="5"/>
  <c r="O31" i="5"/>
  <c r="N31" i="5" s="1"/>
  <c r="O30" i="5"/>
  <c r="O29" i="5"/>
  <c r="N29" i="5" s="1"/>
  <c r="O28" i="5"/>
  <c r="O27" i="5"/>
  <c r="N27" i="5" s="1"/>
  <c r="O25" i="5"/>
  <c r="N25" i="5"/>
  <c r="O24" i="5"/>
  <c r="O23" i="5"/>
  <c r="N23" i="5"/>
  <c r="O22" i="5"/>
  <c r="O21" i="5"/>
  <c r="N21" i="5"/>
  <c r="O20" i="5"/>
  <c r="O19" i="5"/>
  <c r="N19" i="5"/>
  <c r="O18" i="5"/>
  <c r="O17" i="5"/>
  <c r="N17" i="5"/>
  <c r="O16" i="5"/>
  <c r="O15" i="5"/>
  <c r="N15" i="5"/>
  <c r="O14" i="5"/>
  <c r="O13" i="5"/>
  <c r="N13" i="5"/>
  <c r="O12" i="5"/>
  <c r="O11" i="5"/>
  <c r="N11" i="5"/>
  <c r="O10" i="5"/>
  <c r="O9" i="5"/>
  <c r="N9" i="5"/>
  <c r="O8" i="5"/>
  <c r="O7" i="5"/>
  <c r="N22" i="5" s="1"/>
  <c r="N7" i="5"/>
  <c r="O4" i="5"/>
  <c r="N4" i="5"/>
  <c r="N3" i="5"/>
  <c r="N42" i="5" s="1"/>
  <c r="O2" i="5"/>
  <c r="N82" i="5" s="1"/>
  <c r="N2" i="5"/>
  <c r="L45" i="12" l="1"/>
  <c r="M45" i="12" s="1"/>
  <c r="N5" i="12"/>
  <c r="M27" i="12"/>
  <c r="N28" i="12"/>
  <c r="N6" i="12"/>
  <c r="O5" i="12"/>
  <c r="L28" i="12"/>
  <c r="M28" i="12" s="1"/>
  <c r="P28" i="12" s="1"/>
  <c r="P4" i="12"/>
  <c r="Q4" i="12" s="1"/>
  <c r="F31" i="9"/>
  <c r="L27" i="9"/>
  <c r="N28" i="9" s="1"/>
  <c r="F35" i="9"/>
  <c r="L35" i="9" s="1"/>
  <c r="M35" i="9" s="1"/>
  <c r="F39" i="9"/>
  <c r="L39" i="9" s="1"/>
  <c r="M39" i="9" s="1"/>
  <c r="L9" i="9"/>
  <c r="M9" i="9" s="1"/>
  <c r="F16" i="9"/>
  <c r="F12" i="9"/>
  <c r="L12" i="9" s="1"/>
  <c r="M12" i="9" s="1"/>
  <c r="L15" i="9"/>
  <c r="M15" i="9" s="1"/>
  <c r="L8" i="9"/>
  <c r="M8" i="9" s="1"/>
  <c r="L19" i="9"/>
  <c r="M19" i="9" s="1"/>
  <c r="L4" i="9"/>
  <c r="N5" i="9" s="1"/>
  <c r="L5" i="9"/>
  <c r="M5" i="9" s="1"/>
  <c r="P5" i="9" s="1"/>
  <c r="L7" i="9"/>
  <c r="M7" i="9" s="1"/>
  <c r="M27" i="9"/>
  <c r="I8" i="9"/>
  <c r="I10" i="9"/>
  <c r="L14" i="9"/>
  <c r="M14" i="9" s="1"/>
  <c r="L28" i="9"/>
  <c r="M28" i="9" s="1"/>
  <c r="L30" i="9"/>
  <c r="M30" i="9" s="1"/>
  <c r="L34" i="9"/>
  <c r="M34" i="9" s="1"/>
  <c r="L38" i="9"/>
  <c r="M38" i="9" s="1"/>
  <c r="L41" i="9"/>
  <c r="M41" i="9" s="1"/>
  <c r="L42" i="9"/>
  <c r="M42" i="9" s="1"/>
  <c r="L44" i="9"/>
  <c r="M44" i="9" s="1"/>
  <c r="P44" i="9" s="1"/>
  <c r="L6" i="9"/>
  <c r="M6" i="9" s="1"/>
  <c r="P6" i="9" s="1"/>
  <c r="L11" i="9"/>
  <c r="M11" i="9" s="1"/>
  <c r="L18" i="9"/>
  <c r="M18" i="9" s="1"/>
  <c r="L22" i="9"/>
  <c r="M22" i="9" s="1"/>
  <c r="P28" i="9"/>
  <c r="F37" i="9"/>
  <c r="L37" i="9" s="1"/>
  <c r="M37" i="9" s="1"/>
  <c r="F13" i="9"/>
  <c r="L13" i="9" s="1"/>
  <c r="M13" i="9" s="1"/>
  <c r="F17" i="9"/>
  <c r="L17" i="9" s="1"/>
  <c r="M17" i="9" s="1"/>
  <c r="F21" i="9"/>
  <c r="L32" i="9"/>
  <c r="M32" i="9" s="1"/>
  <c r="L43" i="9"/>
  <c r="M43" i="9" s="1"/>
  <c r="F45" i="9"/>
  <c r="P45" i="9" s="1"/>
  <c r="L16" i="9"/>
  <c r="M16" i="9" s="1"/>
  <c r="L20" i="9"/>
  <c r="M20" i="9" s="1"/>
  <c r="L29" i="9"/>
  <c r="M29" i="9" s="1"/>
  <c r="P29" i="9" s="1"/>
  <c r="L31" i="9"/>
  <c r="M31" i="9" s="1"/>
  <c r="L33" i="9"/>
  <c r="M33" i="9" s="1"/>
  <c r="L36" i="9"/>
  <c r="M36" i="9" s="1"/>
  <c r="L40" i="9"/>
  <c r="M40" i="9" s="1"/>
  <c r="L43" i="6"/>
  <c r="M43" i="6" s="1"/>
  <c r="F39" i="6"/>
  <c r="L39" i="6" s="1"/>
  <c r="M39" i="6" s="1"/>
  <c r="F35" i="6"/>
  <c r="L35" i="6" s="1"/>
  <c r="M35" i="6" s="1"/>
  <c r="L41" i="6"/>
  <c r="M41" i="6" s="1"/>
  <c r="L38" i="6"/>
  <c r="M38" i="6" s="1"/>
  <c r="L8" i="6"/>
  <c r="M8" i="6" s="1"/>
  <c r="L15" i="6"/>
  <c r="M15" i="6" s="1"/>
  <c r="F20" i="6"/>
  <c r="F16" i="6"/>
  <c r="F12" i="6"/>
  <c r="L12" i="6" s="1"/>
  <c r="M12" i="6" s="1"/>
  <c r="L9" i="6"/>
  <c r="M9" i="6" s="1"/>
  <c r="I30" i="6"/>
  <c r="L30" i="6"/>
  <c r="M30" i="6" s="1"/>
  <c r="L7" i="6"/>
  <c r="M7" i="6" s="1"/>
  <c r="L34" i="6"/>
  <c r="M34" i="6" s="1"/>
  <c r="L11" i="6"/>
  <c r="M11" i="6" s="1"/>
  <c r="L6" i="6"/>
  <c r="M6" i="6" s="1"/>
  <c r="P6" i="6" s="1"/>
  <c r="L10" i="6"/>
  <c r="M10" i="6" s="1"/>
  <c r="I10" i="6"/>
  <c r="L21" i="6"/>
  <c r="M21" i="6" s="1"/>
  <c r="P21" i="6" s="1"/>
  <c r="L22" i="6"/>
  <c r="M22" i="6" s="1"/>
  <c r="L4" i="6"/>
  <c r="L5" i="6"/>
  <c r="M5" i="6" s="1"/>
  <c r="P5" i="6" s="1"/>
  <c r="L16" i="6"/>
  <c r="M16" i="6" s="1"/>
  <c r="L17" i="6"/>
  <c r="M17" i="6" s="1"/>
  <c r="F18" i="6"/>
  <c r="L18" i="6" s="1"/>
  <c r="M18" i="6" s="1"/>
  <c r="L27" i="6"/>
  <c r="L37" i="6"/>
  <c r="M37" i="6" s="1"/>
  <c r="I38" i="6"/>
  <c r="L45" i="6"/>
  <c r="M45" i="6" s="1"/>
  <c r="P45" i="6"/>
  <c r="L13" i="6"/>
  <c r="M13" i="6" s="1"/>
  <c r="F14" i="6"/>
  <c r="L14" i="6" s="1"/>
  <c r="M14" i="6" s="1"/>
  <c r="L28" i="6"/>
  <c r="M28" i="6" s="1"/>
  <c r="P28" i="6" s="1"/>
  <c r="L32" i="6"/>
  <c r="M32" i="6" s="1"/>
  <c r="L20" i="6"/>
  <c r="M20" i="6" s="1"/>
  <c r="L29" i="6"/>
  <c r="M29" i="6" s="1"/>
  <c r="P29" i="6" s="1"/>
  <c r="L31" i="6"/>
  <c r="M31" i="6" s="1"/>
  <c r="L33" i="6"/>
  <c r="M33" i="6" s="1"/>
  <c r="L36" i="6"/>
  <c r="M36" i="6" s="1"/>
  <c r="L40" i="6"/>
  <c r="M40" i="6" s="1"/>
  <c r="L44" i="6"/>
  <c r="M44" i="6" s="1"/>
  <c r="P44" i="6" s="1"/>
  <c r="N30" i="5"/>
  <c r="N34" i="5"/>
  <c r="N40" i="5"/>
  <c r="N44" i="5"/>
  <c r="N48" i="5"/>
  <c r="N52" i="5"/>
  <c r="N56" i="5"/>
  <c r="N62" i="5"/>
  <c r="N66" i="5"/>
  <c r="N70" i="5"/>
  <c r="N72" i="5"/>
  <c r="N76" i="5"/>
  <c r="N80" i="5"/>
  <c r="N103" i="5"/>
  <c r="N107" i="5"/>
  <c r="N111" i="5"/>
  <c r="N113" i="5"/>
  <c r="N115" i="5"/>
  <c r="N119" i="5"/>
  <c r="N8" i="5"/>
  <c r="N14" i="5"/>
  <c r="N18" i="5"/>
  <c r="N20" i="5"/>
  <c r="N24" i="5"/>
  <c r="N26" i="5"/>
  <c r="N85" i="5"/>
  <c r="N87" i="5"/>
  <c r="N89" i="5"/>
  <c r="N91" i="5"/>
  <c r="N93" i="5"/>
  <c r="N95" i="5"/>
  <c r="N97" i="5"/>
  <c r="N99" i="5"/>
  <c r="N101" i="5"/>
  <c r="N28" i="5"/>
  <c r="N32" i="5"/>
  <c r="N36" i="5"/>
  <c r="N38" i="5"/>
  <c r="N46" i="5"/>
  <c r="N50" i="5"/>
  <c r="N54" i="5"/>
  <c r="N58" i="5"/>
  <c r="N60" i="5"/>
  <c r="N64" i="5"/>
  <c r="N68" i="5"/>
  <c r="N74" i="5"/>
  <c r="N78" i="5"/>
  <c r="N105" i="5"/>
  <c r="N109" i="5"/>
  <c r="N117" i="5"/>
  <c r="N10" i="5"/>
  <c r="N12" i="5"/>
  <c r="N16" i="5"/>
  <c r="Q5" i="12" l="1"/>
  <c r="N7" i="12"/>
  <c r="O6" i="12"/>
  <c r="O28" i="12"/>
  <c r="N29" i="12"/>
  <c r="O27" i="12"/>
  <c r="P27" i="12"/>
  <c r="Q27" i="12" s="1"/>
  <c r="L45" i="9"/>
  <c r="M45" i="9" s="1"/>
  <c r="M4" i="9"/>
  <c r="O4" i="9" s="1"/>
  <c r="O27" i="9"/>
  <c r="P27" i="9"/>
  <c r="L21" i="9"/>
  <c r="M21" i="9" s="1"/>
  <c r="P21" i="9" s="1"/>
  <c r="O5" i="9"/>
  <c r="N6" i="9"/>
  <c r="O28" i="9"/>
  <c r="N29" i="9"/>
  <c r="P4" i="9"/>
  <c r="Q4" i="9" s="1"/>
  <c r="M4" i="6"/>
  <c r="N5" i="6"/>
  <c r="M27" i="6"/>
  <c r="N28" i="6"/>
  <c r="N30" i="12" l="1"/>
  <c r="O29" i="12"/>
  <c r="Q28" i="12"/>
  <c r="N8" i="12"/>
  <c r="O7" i="12"/>
  <c r="Q6" i="12"/>
  <c r="Q27" i="9"/>
  <c r="Q5" i="9"/>
  <c r="N7" i="9"/>
  <c r="O6" i="9"/>
  <c r="N30" i="9"/>
  <c r="O29" i="9"/>
  <c r="Q28" i="9"/>
  <c r="O27" i="6"/>
  <c r="P27" i="6"/>
  <c r="N6" i="6"/>
  <c r="O5" i="6"/>
  <c r="O28" i="6"/>
  <c r="N29" i="6"/>
  <c r="O4" i="6"/>
  <c r="P4" i="6"/>
  <c r="Q29" i="12" l="1"/>
  <c r="N31" i="12"/>
  <c r="O30" i="12"/>
  <c r="N9" i="12"/>
  <c r="O8" i="12"/>
  <c r="Q29" i="9"/>
  <c r="N31" i="9"/>
  <c r="O30" i="9"/>
  <c r="Q6" i="9"/>
  <c r="N8" i="9"/>
  <c r="O7" i="9"/>
  <c r="Q27" i="6"/>
  <c r="Q4" i="6"/>
  <c r="Q5" i="6"/>
  <c r="N7" i="6"/>
  <c r="O6" i="6"/>
  <c r="N30" i="6"/>
  <c r="O29" i="6"/>
  <c r="Q28" i="6"/>
  <c r="N32" i="12" l="1"/>
  <c r="O31" i="12"/>
  <c r="N10" i="12"/>
  <c r="O9" i="12"/>
  <c r="P8" i="12" s="1"/>
  <c r="Q8" i="12" s="1"/>
  <c r="P7" i="12"/>
  <c r="Q7" i="12" s="1"/>
  <c r="N32" i="9"/>
  <c r="O31" i="9"/>
  <c r="N9" i="9"/>
  <c r="O8" i="9"/>
  <c r="N8" i="6"/>
  <c r="O7" i="6"/>
  <c r="Q6" i="6"/>
  <c r="Q29" i="6"/>
  <c r="N31" i="6"/>
  <c r="O30" i="6"/>
  <c r="O32" i="12" l="1"/>
  <c r="N33" i="12"/>
  <c r="P31" i="12"/>
  <c r="Q31" i="12" s="1"/>
  <c r="P30" i="12"/>
  <c r="Q30" i="12" s="1"/>
  <c r="O10" i="12"/>
  <c r="P9" i="12" s="1"/>
  <c r="Q9" i="12" s="1"/>
  <c r="N11" i="12"/>
  <c r="O32" i="9"/>
  <c r="N33" i="9"/>
  <c r="P7" i="9"/>
  <c r="Q7" i="9" s="1"/>
  <c r="O9" i="9"/>
  <c r="P8" i="9" s="1"/>
  <c r="Q8" i="9" s="1"/>
  <c r="N10" i="9"/>
  <c r="P30" i="9"/>
  <c r="Q30" i="9" s="1"/>
  <c r="N32" i="6"/>
  <c r="O31" i="6"/>
  <c r="N9" i="6"/>
  <c r="O8" i="6"/>
  <c r="N34" i="12" l="1"/>
  <c r="O33" i="12"/>
  <c r="O11" i="12"/>
  <c r="N12" i="12"/>
  <c r="O10" i="9"/>
  <c r="N11" i="9"/>
  <c r="N34" i="9"/>
  <c r="O33" i="9"/>
  <c r="P31" i="9"/>
  <c r="Q31" i="9" s="1"/>
  <c r="P30" i="6"/>
  <c r="Q30" i="6" s="1"/>
  <c r="O32" i="6"/>
  <c r="N33" i="6"/>
  <c r="N10" i="6"/>
  <c r="O9" i="6"/>
  <c r="P8" i="6" s="1"/>
  <c r="Q8" i="6" s="1"/>
  <c r="P7" i="6"/>
  <c r="Q7" i="6" s="1"/>
  <c r="N13" i="12" l="1"/>
  <c r="O12" i="12"/>
  <c r="P32" i="12"/>
  <c r="Q32" i="12" s="1"/>
  <c r="P10" i="12"/>
  <c r="Q10" i="12" s="1"/>
  <c r="N35" i="12"/>
  <c r="O34" i="12"/>
  <c r="N35" i="9"/>
  <c r="O34" i="9"/>
  <c r="N12" i="9"/>
  <c r="O11" i="9"/>
  <c r="P32" i="9"/>
  <c r="Q32" i="9" s="1"/>
  <c r="P9" i="9"/>
  <c r="Q9" i="9" s="1"/>
  <c r="N11" i="6"/>
  <c r="O10" i="6"/>
  <c r="N34" i="6"/>
  <c r="O33" i="6"/>
  <c r="P32" i="6" s="1"/>
  <c r="Q32" i="6" s="1"/>
  <c r="P31" i="6"/>
  <c r="Q31" i="6" s="1"/>
  <c r="O35" i="12" l="1"/>
  <c r="N36" i="12"/>
  <c r="N14" i="12"/>
  <c r="O13" i="12"/>
  <c r="P11" i="12"/>
  <c r="Q11" i="12" s="1"/>
  <c r="P33" i="12"/>
  <c r="Q33" i="12" s="1"/>
  <c r="P34" i="12"/>
  <c r="Q34" i="12" s="1"/>
  <c r="N13" i="9"/>
  <c r="O12" i="9"/>
  <c r="P33" i="9"/>
  <c r="Q33" i="9" s="1"/>
  <c r="P10" i="9"/>
  <c r="Q10" i="9" s="1"/>
  <c r="O35" i="9"/>
  <c r="N36" i="9"/>
  <c r="N12" i="6"/>
  <c r="O11" i="6"/>
  <c r="N35" i="6"/>
  <c r="O34" i="6"/>
  <c r="P9" i="6"/>
  <c r="Q9" i="6" s="1"/>
  <c r="N37" i="12" l="1"/>
  <c r="O36" i="12"/>
  <c r="P12" i="12"/>
  <c r="Q12" i="12" s="1"/>
  <c r="N15" i="12"/>
  <c r="O14" i="12"/>
  <c r="N37" i="9"/>
  <c r="O36" i="9"/>
  <c r="P11" i="9"/>
  <c r="Q11" i="9" s="1"/>
  <c r="P34" i="9"/>
  <c r="Q34" i="9" s="1"/>
  <c r="O13" i="9"/>
  <c r="N14" i="9"/>
  <c r="P10" i="6"/>
  <c r="Q10" i="6" s="1"/>
  <c r="P33" i="6"/>
  <c r="Q33" i="6" s="1"/>
  <c r="N13" i="6"/>
  <c r="O12" i="6"/>
  <c r="O35" i="6"/>
  <c r="N36" i="6"/>
  <c r="N16" i="12" l="1"/>
  <c r="O15" i="12"/>
  <c r="P35" i="12"/>
  <c r="Q35" i="12" s="1"/>
  <c r="N38" i="12"/>
  <c r="O37" i="12"/>
  <c r="P36" i="12" s="1"/>
  <c r="Q36" i="12" s="1"/>
  <c r="P14" i="12"/>
  <c r="Q14" i="12" s="1"/>
  <c r="P13" i="12"/>
  <c r="Q13" i="12" s="1"/>
  <c r="P35" i="9"/>
  <c r="Q35" i="9" s="1"/>
  <c r="N38" i="9"/>
  <c r="O37" i="9"/>
  <c r="N15" i="9"/>
  <c r="O14" i="9"/>
  <c r="P12" i="9"/>
  <c r="Q12" i="9" s="1"/>
  <c r="P34" i="6"/>
  <c r="Q34" i="6" s="1"/>
  <c r="N14" i="6"/>
  <c r="O13" i="6"/>
  <c r="P11" i="6"/>
  <c r="Q11" i="6" s="1"/>
  <c r="N37" i="6"/>
  <c r="O36" i="6"/>
  <c r="P12" i="6"/>
  <c r="Q12" i="6" s="1"/>
  <c r="N39" i="12" l="1"/>
  <c r="O38" i="12"/>
  <c r="N17" i="12"/>
  <c r="O16" i="12"/>
  <c r="N39" i="9"/>
  <c r="O38" i="9"/>
  <c r="P37" i="9" s="1"/>
  <c r="Q37" i="9" s="1"/>
  <c r="P13" i="9"/>
  <c r="Q13" i="9" s="1"/>
  <c r="N16" i="9"/>
  <c r="O15" i="9"/>
  <c r="P14" i="9"/>
  <c r="Q14" i="9" s="1"/>
  <c r="P36" i="9"/>
  <c r="Q36" i="9" s="1"/>
  <c r="P35" i="6"/>
  <c r="Q35" i="6" s="1"/>
  <c r="N38" i="6"/>
  <c r="O37" i="6"/>
  <c r="P36" i="6" s="1"/>
  <c r="Q36" i="6" s="1"/>
  <c r="N15" i="6"/>
  <c r="O14" i="6"/>
  <c r="N18" i="12" l="1"/>
  <c r="O17" i="12"/>
  <c r="P37" i="12"/>
  <c r="Q37" i="12" s="1"/>
  <c r="P38" i="12"/>
  <c r="Q38" i="12" s="1"/>
  <c r="P15" i="12"/>
  <c r="Q15" i="12" s="1"/>
  <c r="O39" i="12"/>
  <c r="N40" i="12"/>
  <c r="N17" i="9"/>
  <c r="O16" i="9"/>
  <c r="O39" i="9"/>
  <c r="N40" i="9"/>
  <c r="P13" i="6"/>
  <c r="Q13" i="6" s="1"/>
  <c r="N16" i="6"/>
  <c r="O15" i="6"/>
  <c r="N39" i="6"/>
  <c r="O38" i="6"/>
  <c r="P37" i="6" s="1"/>
  <c r="Q37" i="6" s="1"/>
  <c r="N41" i="12" l="1"/>
  <c r="O40" i="12"/>
  <c r="P17" i="12"/>
  <c r="Q17" i="12" s="1"/>
  <c r="N19" i="12"/>
  <c r="O18" i="12"/>
  <c r="P16" i="12"/>
  <c r="Q16" i="12" s="1"/>
  <c r="P38" i="9"/>
  <c r="Q38" i="9" s="1"/>
  <c r="N18" i="9"/>
  <c r="O17" i="9"/>
  <c r="N41" i="9"/>
  <c r="O40" i="9"/>
  <c r="P39" i="9" s="1"/>
  <c r="Q39" i="9" s="1"/>
  <c r="P15" i="9"/>
  <c r="Q15" i="9" s="1"/>
  <c r="O39" i="6"/>
  <c r="N40" i="6"/>
  <c r="P14" i="6"/>
  <c r="Q14" i="6" s="1"/>
  <c r="N17" i="6"/>
  <c r="O16" i="6"/>
  <c r="N20" i="12" l="1"/>
  <c r="O19" i="12"/>
  <c r="P39" i="12"/>
  <c r="Q39" i="12" s="1"/>
  <c r="N42" i="12"/>
  <c r="O41" i="12"/>
  <c r="P16" i="9"/>
  <c r="Q16" i="9" s="1"/>
  <c r="N19" i="9"/>
  <c r="O18" i="9"/>
  <c r="P17" i="9" s="1"/>
  <c r="Q17" i="9" s="1"/>
  <c r="N42" i="9"/>
  <c r="O41" i="9"/>
  <c r="N18" i="6"/>
  <c r="O17" i="6"/>
  <c r="P16" i="6" s="1"/>
  <c r="Q16" i="6" s="1"/>
  <c r="P15" i="6"/>
  <c r="Q15" i="6" s="1"/>
  <c r="O40" i="6"/>
  <c r="N41" i="6"/>
  <c r="P38" i="6"/>
  <c r="Q38" i="6" s="1"/>
  <c r="P18" i="12" l="1"/>
  <c r="Q18" i="12" s="1"/>
  <c r="N21" i="12"/>
  <c r="O20" i="12"/>
  <c r="P19" i="12" s="1"/>
  <c r="Q19" i="12" s="1"/>
  <c r="N43" i="12"/>
  <c r="O42" i="12"/>
  <c r="P40" i="12"/>
  <c r="Q40" i="12" s="1"/>
  <c r="P41" i="12"/>
  <c r="Q41" i="12" s="1"/>
  <c r="P40" i="9"/>
  <c r="Q40" i="9" s="1"/>
  <c r="N20" i="9"/>
  <c r="O19" i="9"/>
  <c r="P18" i="9" s="1"/>
  <c r="Q18" i="9" s="1"/>
  <c r="N43" i="9"/>
  <c r="O42" i="9"/>
  <c r="P39" i="6"/>
  <c r="Q39" i="6" s="1"/>
  <c r="N19" i="6"/>
  <c r="O18" i="6"/>
  <c r="N42" i="6"/>
  <c r="O41" i="6"/>
  <c r="P40" i="6" s="1"/>
  <c r="Q40" i="6" s="1"/>
  <c r="N22" i="12" l="1"/>
  <c r="O21" i="12"/>
  <c r="P20" i="12" s="1"/>
  <c r="Q20" i="12" s="1"/>
  <c r="O43" i="12"/>
  <c r="P42" i="12" s="1"/>
  <c r="Q42" i="12" s="1"/>
  <c r="N44" i="12"/>
  <c r="O43" i="9"/>
  <c r="P42" i="9" s="1"/>
  <c r="Q42" i="9" s="1"/>
  <c r="N44" i="9"/>
  <c r="N21" i="9"/>
  <c r="O20" i="9"/>
  <c r="P19" i="9" s="1"/>
  <c r="Q19" i="9" s="1"/>
  <c r="P41" i="9"/>
  <c r="Q41" i="9" s="1"/>
  <c r="N43" i="6"/>
  <c r="O42" i="6"/>
  <c r="P17" i="6"/>
  <c r="Q17" i="6" s="1"/>
  <c r="O19" i="6"/>
  <c r="N20" i="6"/>
  <c r="P41" i="6"/>
  <c r="Q41" i="6" s="1"/>
  <c r="N45" i="12" l="1"/>
  <c r="O44" i="12"/>
  <c r="P43" i="12" s="1"/>
  <c r="Q43" i="12" s="1"/>
  <c r="O22" i="12"/>
  <c r="Q22" i="12"/>
  <c r="R22" i="12" s="1"/>
  <c r="Q21" i="12"/>
  <c r="N22" i="9"/>
  <c r="O21" i="9"/>
  <c r="P20" i="9" s="1"/>
  <c r="Q20" i="9" s="1"/>
  <c r="N45" i="9"/>
  <c r="O44" i="9"/>
  <c r="P43" i="9" s="1"/>
  <c r="Q43" i="9" s="1"/>
  <c r="P18" i="6"/>
  <c r="Q18" i="6" s="1"/>
  <c r="N21" i="6"/>
  <c r="O20" i="6"/>
  <c r="P19" i="6" s="1"/>
  <c r="Q19" i="6" s="1"/>
  <c r="O43" i="6"/>
  <c r="P42" i="6" s="1"/>
  <c r="Q42" i="6" s="1"/>
  <c r="N44" i="6"/>
  <c r="Q44" i="12" l="1"/>
  <c r="O45" i="12"/>
  <c r="Q45" i="12"/>
  <c r="R45" i="12" s="1"/>
  <c r="S22" i="12"/>
  <c r="T22" i="12" s="1"/>
  <c r="R21" i="12"/>
  <c r="O22" i="9"/>
  <c r="Q22" i="9"/>
  <c r="R22" i="9" s="1"/>
  <c r="Q21" i="9"/>
  <c r="Q44" i="9"/>
  <c r="O45" i="9"/>
  <c r="Q45" i="9"/>
  <c r="R45" i="9" s="1"/>
  <c r="N45" i="6"/>
  <c r="O44" i="6"/>
  <c r="P43" i="6" s="1"/>
  <c r="Q43" i="6" s="1"/>
  <c r="N22" i="6"/>
  <c r="O21" i="6"/>
  <c r="P20" i="6" s="1"/>
  <c r="Q20" i="6" s="1"/>
  <c r="S45" i="12" l="1"/>
  <c r="T45" i="12" s="1"/>
  <c r="R44" i="12"/>
  <c r="S21" i="12"/>
  <c r="T21" i="12" s="1"/>
  <c r="R20" i="12"/>
  <c r="S22" i="9"/>
  <c r="T22" i="9" s="1"/>
  <c r="R21" i="9"/>
  <c r="S45" i="9"/>
  <c r="T45" i="9" s="1"/>
  <c r="R44" i="9"/>
  <c r="Q44" i="6"/>
  <c r="O45" i="6"/>
  <c r="Q45" i="6"/>
  <c r="R45" i="6" s="1"/>
  <c r="O22" i="6"/>
  <c r="Q22" i="6"/>
  <c r="R22" i="6" s="1"/>
  <c r="Q21" i="6"/>
  <c r="R19" i="12" l="1"/>
  <c r="S20" i="12"/>
  <c r="T20" i="12" s="1"/>
  <c r="R43" i="12"/>
  <c r="S44" i="12"/>
  <c r="T44" i="12" s="1"/>
  <c r="R43" i="9"/>
  <c r="S44" i="9"/>
  <c r="T44" i="9" s="1"/>
  <c r="S21" i="9"/>
  <c r="T21" i="9" s="1"/>
  <c r="R20" i="9"/>
  <c r="S45" i="6"/>
  <c r="T45" i="6" s="1"/>
  <c r="R44" i="6"/>
  <c r="S22" i="6"/>
  <c r="T22" i="6" s="1"/>
  <c r="R21" i="6"/>
  <c r="R18" i="12" l="1"/>
  <c r="S19" i="12"/>
  <c r="T19" i="12" s="1"/>
  <c r="R42" i="12"/>
  <c r="S43" i="12"/>
  <c r="T43" i="12" s="1"/>
  <c r="R19" i="9"/>
  <c r="S20" i="9"/>
  <c r="T20" i="9" s="1"/>
  <c r="R42" i="9"/>
  <c r="S43" i="9"/>
  <c r="T43" i="9" s="1"/>
  <c r="S21" i="6"/>
  <c r="T21" i="6" s="1"/>
  <c r="R20" i="6"/>
  <c r="R43" i="6"/>
  <c r="S44" i="6"/>
  <c r="T44" i="6" s="1"/>
  <c r="S42" i="12" l="1"/>
  <c r="T42" i="12" s="1"/>
  <c r="R41" i="12"/>
  <c r="S18" i="12"/>
  <c r="T18" i="12" s="1"/>
  <c r="R17" i="12"/>
  <c r="S42" i="9"/>
  <c r="T42" i="9" s="1"/>
  <c r="R41" i="9"/>
  <c r="R18" i="9"/>
  <c r="S19" i="9"/>
  <c r="T19" i="9" s="1"/>
  <c r="R42" i="6"/>
  <c r="S43" i="6"/>
  <c r="T43" i="6" s="1"/>
  <c r="R19" i="6"/>
  <c r="S20" i="6"/>
  <c r="T20" i="6" s="1"/>
  <c r="S41" i="12" l="1"/>
  <c r="T41" i="12" s="1"/>
  <c r="R40" i="12"/>
  <c r="S17" i="12"/>
  <c r="T17" i="12" s="1"/>
  <c r="R16" i="12"/>
  <c r="S18" i="9"/>
  <c r="T18" i="9" s="1"/>
  <c r="R17" i="9"/>
  <c r="S41" i="9"/>
  <c r="T41" i="9" s="1"/>
  <c r="R40" i="9"/>
  <c r="R18" i="6"/>
  <c r="S19" i="6"/>
  <c r="T19" i="6" s="1"/>
  <c r="S42" i="6"/>
  <c r="T42" i="6" s="1"/>
  <c r="R41" i="6"/>
  <c r="R39" i="12" l="1"/>
  <c r="S40" i="12"/>
  <c r="T40" i="12" s="1"/>
  <c r="R15" i="12"/>
  <c r="S16" i="12"/>
  <c r="T16" i="12" s="1"/>
  <c r="R39" i="9"/>
  <c r="S40" i="9"/>
  <c r="T40" i="9" s="1"/>
  <c r="S17" i="9"/>
  <c r="T17" i="9" s="1"/>
  <c r="R16" i="9"/>
  <c r="S41" i="6"/>
  <c r="T41" i="6" s="1"/>
  <c r="R40" i="6"/>
  <c r="S18" i="6"/>
  <c r="T18" i="6" s="1"/>
  <c r="R17" i="6"/>
  <c r="R38" i="12" l="1"/>
  <c r="S39" i="12"/>
  <c r="T39" i="12" s="1"/>
  <c r="R14" i="12"/>
  <c r="S15" i="12"/>
  <c r="T15" i="12" s="1"/>
  <c r="R15" i="9"/>
  <c r="S16" i="9"/>
  <c r="T16" i="9" s="1"/>
  <c r="R38" i="9"/>
  <c r="S39" i="9"/>
  <c r="T39" i="9" s="1"/>
  <c r="S17" i="6"/>
  <c r="T17" i="6" s="1"/>
  <c r="R16" i="6"/>
  <c r="R39" i="6"/>
  <c r="S40" i="6"/>
  <c r="T40" i="6" s="1"/>
  <c r="S14" i="12" l="1"/>
  <c r="T14" i="12" s="1"/>
  <c r="R13" i="12"/>
  <c r="S38" i="12"/>
  <c r="T38" i="12" s="1"/>
  <c r="R37" i="12"/>
  <c r="S38" i="9"/>
  <c r="T38" i="9" s="1"/>
  <c r="R37" i="9"/>
  <c r="R14" i="9"/>
  <c r="S15" i="9"/>
  <c r="T15" i="9" s="1"/>
  <c r="R38" i="6"/>
  <c r="S39" i="6"/>
  <c r="T39" i="6" s="1"/>
  <c r="R15" i="6"/>
  <c r="S16" i="6"/>
  <c r="T16" i="6" s="1"/>
  <c r="S37" i="12" l="1"/>
  <c r="T37" i="12" s="1"/>
  <c r="R36" i="12"/>
  <c r="S13" i="12"/>
  <c r="T13" i="12" s="1"/>
  <c r="R12" i="12"/>
  <c r="S14" i="9"/>
  <c r="T14" i="9" s="1"/>
  <c r="R13" i="9"/>
  <c r="S37" i="9"/>
  <c r="T37" i="9" s="1"/>
  <c r="R36" i="9"/>
  <c r="R14" i="6"/>
  <c r="S15" i="6"/>
  <c r="T15" i="6" s="1"/>
  <c r="S38" i="6"/>
  <c r="T38" i="6" s="1"/>
  <c r="R37" i="6"/>
  <c r="R11" i="12" l="1"/>
  <c r="S12" i="12"/>
  <c r="T12" i="12" s="1"/>
  <c r="R35" i="12"/>
  <c r="S36" i="12"/>
  <c r="T36" i="12" s="1"/>
  <c r="R35" i="9"/>
  <c r="S36" i="9"/>
  <c r="T36" i="9" s="1"/>
  <c r="S13" i="9"/>
  <c r="T13" i="9" s="1"/>
  <c r="R12" i="9"/>
  <c r="S37" i="6"/>
  <c r="T37" i="6" s="1"/>
  <c r="R36" i="6"/>
  <c r="S14" i="6"/>
  <c r="T14" i="6" s="1"/>
  <c r="R13" i="6"/>
  <c r="R34" i="12" l="1"/>
  <c r="S35" i="12"/>
  <c r="T35" i="12" s="1"/>
  <c r="S11" i="12"/>
  <c r="T11" i="12" s="1"/>
  <c r="R10" i="12"/>
  <c r="S12" i="9"/>
  <c r="T12" i="9" s="1"/>
  <c r="R11" i="9"/>
  <c r="R34" i="9"/>
  <c r="S35" i="9"/>
  <c r="T35" i="9" s="1"/>
  <c r="R35" i="6"/>
  <c r="S36" i="6"/>
  <c r="T36" i="6" s="1"/>
  <c r="S13" i="6"/>
  <c r="T13" i="6" s="1"/>
  <c r="R12" i="6"/>
  <c r="R9" i="12" l="1"/>
  <c r="S10" i="12"/>
  <c r="T10" i="12" s="1"/>
  <c r="S34" i="12"/>
  <c r="T34" i="12" s="1"/>
  <c r="R33" i="12"/>
  <c r="S34" i="9"/>
  <c r="T34" i="9" s="1"/>
  <c r="R33" i="9"/>
  <c r="R10" i="9"/>
  <c r="S11" i="9"/>
  <c r="T11" i="9" s="1"/>
  <c r="S12" i="6"/>
  <c r="T12" i="6" s="1"/>
  <c r="R11" i="6"/>
  <c r="R34" i="6"/>
  <c r="S35" i="6"/>
  <c r="T35" i="6" s="1"/>
  <c r="S33" i="12" l="1"/>
  <c r="T33" i="12" s="1"/>
  <c r="R32" i="12"/>
  <c r="R8" i="12"/>
  <c r="S9" i="12"/>
  <c r="T9" i="12" s="1"/>
  <c r="S10" i="9"/>
  <c r="T10" i="9" s="1"/>
  <c r="R9" i="9"/>
  <c r="S33" i="9"/>
  <c r="T33" i="9" s="1"/>
  <c r="R32" i="9"/>
  <c r="R10" i="6"/>
  <c r="S11" i="6"/>
  <c r="T11" i="6" s="1"/>
  <c r="S34" i="6"/>
  <c r="T34" i="6" s="1"/>
  <c r="R33" i="6"/>
  <c r="S8" i="12" l="1"/>
  <c r="T8" i="12" s="1"/>
  <c r="R7" i="12"/>
  <c r="S32" i="12"/>
  <c r="T32" i="12" s="1"/>
  <c r="R31" i="12"/>
  <c r="S32" i="9"/>
  <c r="T32" i="9" s="1"/>
  <c r="R31" i="9"/>
  <c r="S9" i="9"/>
  <c r="T9" i="9" s="1"/>
  <c r="R8" i="9"/>
  <c r="S33" i="6"/>
  <c r="T33" i="6" s="1"/>
  <c r="R32" i="6"/>
  <c r="R9" i="6"/>
  <c r="S10" i="6"/>
  <c r="T10" i="6" s="1"/>
  <c r="R30" i="12" l="1"/>
  <c r="S31" i="12"/>
  <c r="T31" i="12" s="1"/>
  <c r="S7" i="12"/>
  <c r="T7" i="12" s="1"/>
  <c r="R6" i="12"/>
  <c r="R30" i="9"/>
  <c r="S31" i="9"/>
  <c r="T31" i="9" s="1"/>
  <c r="S8" i="9"/>
  <c r="T8" i="9" s="1"/>
  <c r="R7" i="9"/>
  <c r="R8" i="6"/>
  <c r="S9" i="6"/>
  <c r="T9" i="6" s="1"/>
  <c r="S32" i="6"/>
  <c r="T32" i="6" s="1"/>
  <c r="R31" i="6"/>
  <c r="S6" i="12" l="1"/>
  <c r="T6" i="12" s="1"/>
  <c r="R5" i="12"/>
  <c r="R29" i="12"/>
  <c r="S30" i="12"/>
  <c r="T30" i="12" s="1"/>
  <c r="S7" i="9"/>
  <c r="T7" i="9" s="1"/>
  <c r="R6" i="9"/>
  <c r="R29" i="9"/>
  <c r="S30" i="9"/>
  <c r="T30" i="9" s="1"/>
  <c r="R30" i="6"/>
  <c r="S31" i="6"/>
  <c r="T31" i="6" s="1"/>
  <c r="R7" i="6"/>
  <c r="S8" i="6"/>
  <c r="T8" i="6" s="1"/>
  <c r="S29" i="12" l="1"/>
  <c r="T29" i="12" s="1"/>
  <c r="R28" i="12"/>
  <c r="R4" i="12"/>
  <c r="S5" i="12"/>
  <c r="T5" i="12" s="1"/>
  <c r="S29" i="9"/>
  <c r="T29" i="9" s="1"/>
  <c r="R28" i="9"/>
  <c r="R5" i="9"/>
  <c r="S6" i="9"/>
  <c r="T6" i="9" s="1"/>
  <c r="S7" i="6"/>
  <c r="T7" i="6" s="1"/>
  <c r="R6" i="6"/>
  <c r="S30" i="6"/>
  <c r="T30" i="6" s="1"/>
  <c r="R29" i="6"/>
  <c r="S4" i="12" l="1"/>
  <c r="W9" i="12"/>
  <c r="W10" i="12" s="1"/>
  <c r="S28" i="12"/>
  <c r="T28" i="12" s="1"/>
  <c r="R27" i="12"/>
  <c r="S5" i="9"/>
  <c r="T5" i="9" s="1"/>
  <c r="R4" i="9"/>
  <c r="S28" i="9"/>
  <c r="T28" i="9" s="1"/>
  <c r="R27" i="9"/>
  <c r="S29" i="6"/>
  <c r="T29" i="6" s="1"/>
  <c r="R28" i="6"/>
  <c r="S6" i="6"/>
  <c r="T6" i="6" s="1"/>
  <c r="R5" i="6"/>
  <c r="S27" i="12" l="1"/>
  <c r="W32" i="12"/>
  <c r="W33" i="12" s="1"/>
  <c r="AA27" i="12"/>
  <c r="AA29" i="12" s="1"/>
  <c r="T4" i="12"/>
  <c r="W9" i="9"/>
  <c r="W10" i="9" s="1"/>
  <c r="S4" i="9"/>
  <c r="S27" i="9"/>
  <c r="W32" i="9"/>
  <c r="W33" i="9" s="1"/>
  <c r="R4" i="6"/>
  <c r="S5" i="6"/>
  <c r="T5" i="6" s="1"/>
  <c r="S28" i="6"/>
  <c r="T28" i="6" s="1"/>
  <c r="R27" i="6"/>
  <c r="AB27" i="12" l="1"/>
  <c r="AB29" i="12" s="1"/>
  <c r="T27" i="12"/>
  <c r="AB27" i="9"/>
  <c r="AB29" i="9" s="1"/>
  <c r="T27" i="9"/>
  <c r="AA27" i="9"/>
  <c r="AA29" i="9" s="1"/>
  <c r="T4" i="9"/>
  <c r="S27" i="6"/>
  <c r="W32" i="6"/>
  <c r="W33" i="6" s="1"/>
  <c r="W9" i="6"/>
  <c r="W10" i="6" s="1"/>
  <c r="S4" i="6"/>
  <c r="AA27" i="6" l="1"/>
  <c r="AA29" i="6" s="1"/>
  <c r="T4" i="6"/>
  <c r="AB27" i="6"/>
  <c r="AB29" i="6" s="1"/>
  <c r="T27" i="6"/>
</calcChain>
</file>

<file path=xl/sharedStrings.xml><?xml version="1.0" encoding="utf-8"?>
<sst xmlns="http://schemas.openxmlformats.org/spreadsheetml/2006/main" count="1000" uniqueCount="90">
  <si>
    <t>x</t>
  </si>
  <si>
    <t>n</t>
  </si>
  <si>
    <t>mx</t>
  </si>
  <si>
    <t>ax</t>
  </si>
  <si>
    <t>qx</t>
  </si>
  <si>
    <t>px</t>
  </si>
  <si>
    <t>lx</t>
  </si>
  <si>
    <t>dx</t>
  </si>
  <si>
    <t>Lx</t>
  </si>
  <si>
    <t>Tx</t>
  </si>
  <si>
    <t>ex</t>
  </si>
  <si>
    <t>sexo</t>
  </si>
  <si>
    <t>hombre</t>
  </si>
  <si>
    <t>mujer</t>
  </si>
  <si>
    <t>De 0 años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</si>
  <si>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</si>
  <si>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</si>
  <si>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</si>
  <si>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</si>
  <si>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</si>
  <si>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</si>
  <si>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</si>
  <si>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</si>
  <si>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</si>
  <si>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</si>
  <si>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</si>
  <si>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</si>
  <si>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</si>
  <si>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</si>
  <si>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</si>
  <si>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</si>
  <si>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</si>
  <si>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</si>
  <si>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anio</t>
  </si>
  <si>
    <t>age</t>
  </si>
  <si>
    <t>sex</t>
  </si>
  <si>
    <t>deaths</t>
  </si>
  <si>
    <t>male</t>
  </si>
  <si>
    <t>female</t>
  </si>
  <si>
    <t>Defunciones por homicidios</t>
  </si>
  <si>
    <t>Ent y mun de residencia : Chihuahua</t>
  </si>
  <si>
    <t>No especificado</t>
  </si>
  <si>
    <t/>
  </si>
  <si>
    <t>Consulta de: Defunciones por homicidio   Por: Año de ocurrencia, Edad y Año de registro   Según: Sexo</t>
  </si>
  <si>
    <t>Hombre</t>
  </si>
  <si>
    <t>Mujer</t>
  </si>
  <si>
    <t>Sin Prorrateo</t>
  </si>
  <si>
    <t>Total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</si>
  <si>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</si>
  <si>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</si>
  <si>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</si>
  <si>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</si>
  <si>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</si>
  <si>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</si>
  <si>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</si>
  <si>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</si>
  <si>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</si>
  <si>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</si>
  <si>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</si>
  <si>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</si>
  <si>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</si>
  <si>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</si>
  <si>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</si>
  <si>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</si>
  <si>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</si>
  <si>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</si>
  <si>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</si>
  <si>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mortalidad.</t>
  </si>
  <si>
    <t>Hombres, 2019</t>
  </si>
  <si>
    <t>Age x</t>
  </si>
  <si>
    <t>nDx</t>
  </si>
  <si>
    <t>nDxi</t>
  </si>
  <si>
    <t>nqx</t>
  </si>
  <si>
    <t>e0</t>
  </si>
  <si>
    <t>nqx_i</t>
  </si>
  <si>
    <t>ndx_i</t>
  </si>
  <si>
    <t>L</t>
  </si>
  <si>
    <t>T</t>
  </si>
  <si>
    <t>e0_i</t>
  </si>
  <si>
    <t>diff</t>
  </si>
  <si>
    <t>Número de años que se espera 
que viva un hombre de 0 años 
hasta llegar a los 85 años.</t>
  </si>
  <si>
    <t>Sin COVID</t>
  </si>
  <si>
    <t>Con COVID</t>
  </si>
  <si>
    <t>Diff</t>
  </si>
  <si>
    <t>Mujeres, 2019</t>
  </si>
  <si>
    <t>Hombres</t>
  </si>
  <si>
    <t>Mujeres</t>
  </si>
  <si>
    <t>Sin homicidios</t>
  </si>
  <si>
    <t>Número de años que se espera 
que viva una mujer de 0 años 
hasta llegar a los 85 años.</t>
  </si>
  <si>
    <t>Con homicidios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</si>
</sst>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"/>
    <numFmt numFmtId="165" formatCode="0.0000"/>
    <numFmt numFmtId="166" formatCode="#,##0.0000"/>
    <numFmt numFmtId="167" formatCode="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Georgia"/>
      <family val="1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Georgia"/>
      <family val="1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11" fontId="0" fillId="0" borderId="0" xfId="0" applyNumberFormat="1"/>
    <xf numFmtId="0" fontId="0" fillId="0" borderId="0" xfId="0" applyNumberFormat="1" applyFont="1" applyProtection="1"/>
    <xf numFmtId="0" fontId="3" fillId="0" borderId="0" xfId="1" applyNumberFormat="1" applyFont="1" applyProtection="1"/>
    <xf numFmtId="164" fontId="3" fillId="0" borderId="0" xfId="1" applyNumberFormat="1" applyFont="1" applyAlignment="1" applyProtection="1">
      <alignment horizontal="left" vertical="top"/>
    </xf>
    <xf numFmtId="1" fontId="3" fillId="0" borderId="0" xfId="1" applyNumberFormat="1" applyFont="1" applyProtection="1"/>
    <xf numFmtId="0" fontId="3" fillId="0" borderId="0" xfId="1" applyNumberFormat="1" applyFont="1" applyAlignment="1" applyProtection="1">
      <alignment horizontal="left" vertical="top"/>
    </xf>
    <xf numFmtId="3" fontId="3" fillId="0" borderId="0" xfId="1" applyNumberFormat="1" applyFont="1" applyAlignment="1" applyProtection="1">
      <alignment horizontal="left" vertical="top"/>
    </xf>
    <xf numFmtId="3" fontId="3" fillId="0" borderId="0" xfId="1" applyNumberFormat="1" applyFont="1" applyProtection="1"/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3" fontId="4" fillId="3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3" fontId="4" fillId="4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2" fontId="7" fillId="5" borderId="0" xfId="0" applyNumberFormat="1" applyFont="1" applyFill="1" applyAlignment="1">
      <alignment horizontal="center"/>
    </xf>
    <xf numFmtId="166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2" fontId="7" fillId="6" borderId="0" xfId="0" applyNumberFormat="1" applyFont="1" applyFill="1" applyAlignment="1">
      <alignment horizontal="center"/>
    </xf>
    <xf numFmtId="2" fontId="1" fillId="0" borderId="6" xfId="0" applyNumberFormat="1" applyFont="1" applyBorder="1"/>
    <xf numFmtId="0" fontId="2" fillId="0" borderId="13" xfId="0" applyFont="1" applyBorder="1" applyAlignment="1">
      <alignment horizontal="center" vertical="center"/>
    </xf>
    <xf numFmtId="2" fontId="1" fillId="0" borderId="13" xfId="0" applyNumberFormat="1" applyFont="1" applyBorder="1"/>
    <xf numFmtId="0" fontId="2" fillId="0" borderId="13" xfId="0" applyFont="1" applyBorder="1"/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2" fontId="1" fillId="0" borderId="15" xfId="0" applyNumberFormat="1" applyFont="1" applyBorder="1"/>
    <xf numFmtId="0" fontId="5" fillId="0" borderId="0" xfId="0" applyFont="1" applyAlignment="1">
      <alignment horizontal="left"/>
    </xf>
    <xf numFmtId="0" fontId="2" fillId="0" borderId="0" xfId="0" applyFont="1"/>
    <xf numFmtId="3" fontId="4" fillId="8" borderId="0" xfId="0" applyNumberFormat="1" applyFont="1" applyFill="1" applyAlignment="1">
      <alignment horizontal="center"/>
    </xf>
    <xf numFmtId="3" fontId="4" fillId="9" borderId="0" xfId="0" applyNumberFormat="1" applyFont="1" applyFill="1" applyAlignment="1">
      <alignment horizontal="center"/>
    </xf>
    <xf numFmtId="165" fontId="4" fillId="8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2" fontId="7" fillId="10" borderId="0" xfId="0" applyNumberFormat="1" applyFont="1" applyFill="1" applyAlignment="1">
      <alignment horizontal="center"/>
    </xf>
    <xf numFmtId="2" fontId="7" fillId="11" borderId="0" xfId="0" applyNumberFormat="1" applyFont="1" applyFill="1" applyAlignment="1">
      <alignment horizontal="center"/>
    </xf>
    <xf numFmtId="0" fontId="1" fillId="0" borderId="16" xfId="0" applyFont="1" applyBorder="1"/>
    <xf numFmtId="2" fontId="0" fillId="0" borderId="16" xfId="0" applyNumberFormat="1" applyBorder="1"/>
    <xf numFmtId="0" fontId="1" fillId="0" borderId="0" xfId="0" applyFont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4" fillId="8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2" fillId="7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DM_2019!$I$26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DM_2019!$B$27:$B$45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DM_2019!$I$27:$I$45</c:f>
              <c:numCache>
                <c:formatCode>0.0000</c:formatCode>
                <c:ptCount val="19"/>
                <c:pt idx="0">
                  <c:v>1.4746569789464981E-2</c:v>
                </c:pt>
                <c:pt idx="1">
                  <c:v>2.8210638398360466E-3</c:v>
                </c:pt>
                <c:pt idx="2">
                  <c:v>1.3651625291469793E-3</c:v>
                </c:pt>
                <c:pt idx="3">
                  <c:v>1.5492689524839731E-3</c:v>
                </c:pt>
                <c:pt idx="4">
                  <c:v>4.1840534979460386E-3</c:v>
                </c:pt>
                <c:pt idx="5">
                  <c:v>5.6752151395940142E-3</c:v>
                </c:pt>
                <c:pt idx="6">
                  <c:v>5.2749904460149821E-3</c:v>
                </c:pt>
                <c:pt idx="7">
                  <c:v>6.1061801895400114E-3</c:v>
                </c:pt>
                <c:pt idx="8">
                  <c:v>7.6490040583540031E-3</c:v>
                </c:pt>
                <c:pt idx="9">
                  <c:v>1.1896172142415007E-2</c:v>
                </c:pt>
                <c:pt idx="10">
                  <c:v>1.4506147146051029E-2</c:v>
                </c:pt>
                <c:pt idx="11">
                  <c:v>2.3323986291356014E-2</c:v>
                </c:pt>
                <c:pt idx="12">
                  <c:v>3.6506638120680002E-2</c:v>
                </c:pt>
                <c:pt idx="13">
                  <c:v>5.567927443861298E-2</c:v>
                </c:pt>
                <c:pt idx="14">
                  <c:v>8.2561245660252025E-2</c:v>
                </c:pt>
                <c:pt idx="15">
                  <c:v>0.12814920762262905</c:v>
                </c:pt>
                <c:pt idx="16">
                  <c:v>0.20264539593351705</c:v>
                </c:pt>
                <c:pt idx="17">
                  <c:v>0.30565677685516501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9-4AD8-B911-AAA8A957EF0D}"/>
            </c:ext>
          </c:extLst>
        </c:ser>
        <c:ser>
          <c:idx val="1"/>
          <c:order val="1"/>
          <c:tx>
            <c:strRef>
              <c:f>DM_2019!$M$26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DM_2019!$B$27:$B$45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DM_2019!$M$27:$M$45</c:f>
              <c:numCache>
                <c:formatCode>#,##0.0000</c:formatCode>
                <c:ptCount val="19"/>
                <c:pt idx="0">
                  <c:v>1.470743184452572E-2</c:v>
                </c:pt>
                <c:pt idx="1">
                  <c:v>2.6884865148116832E-3</c:v>
                </c:pt>
                <c:pt idx="2">
                  <c:v>1.3017079425190481E-3</c:v>
                </c:pt>
                <c:pt idx="3">
                  <c:v>1.3671266684955885E-3</c:v>
                </c:pt>
                <c:pt idx="4">
                  <c:v>2.9771283503792212E-3</c:v>
                </c:pt>
                <c:pt idx="5">
                  <c:v>3.5746887947859518E-3</c:v>
                </c:pt>
                <c:pt idx="6">
                  <c:v>4.1422205865138118E-3</c:v>
                </c:pt>
                <c:pt idx="7">
                  <c:v>4.9307050338620595E-3</c:v>
                </c:pt>
                <c:pt idx="8">
                  <c:v>6.7193401357334981E-3</c:v>
                </c:pt>
                <c:pt idx="9">
                  <c:v>1.1390362805801968E-2</c:v>
                </c:pt>
                <c:pt idx="10">
                  <c:v>1.3785863025257639E-2</c:v>
                </c:pt>
                <c:pt idx="11">
                  <c:v>2.3190483872346568E-2</c:v>
                </c:pt>
                <c:pt idx="12">
                  <c:v>3.6229689433698087E-2</c:v>
                </c:pt>
                <c:pt idx="13">
                  <c:v>5.5417571504311036E-2</c:v>
                </c:pt>
                <c:pt idx="14">
                  <c:v>8.2385940229371735E-2</c:v>
                </c:pt>
                <c:pt idx="15">
                  <c:v>0.12803725007513256</c:v>
                </c:pt>
                <c:pt idx="16">
                  <c:v>0.20249209974324922</c:v>
                </c:pt>
                <c:pt idx="17">
                  <c:v>0.30544619739108259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09-4AD8-B911-AAA8A957E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DM_2019!$I$3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DM_2019!$B$4:$B$22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DM_2019!$I$4:$I$22</c:f>
              <c:numCache>
                <c:formatCode>0.0000</c:formatCode>
                <c:ptCount val="19"/>
                <c:pt idx="0">
                  <c:v>1.8048919424899945E-2</c:v>
                </c:pt>
                <c:pt idx="1">
                  <c:v>2.9073261887250235E-3</c:v>
                </c:pt>
                <c:pt idx="2">
                  <c:v>1.3528143273300319E-3</c:v>
                </c:pt>
                <c:pt idx="3">
                  <c:v>2.086505973135977E-3</c:v>
                </c:pt>
                <c:pt idx="4">
                  <c:v>1.0938747875648969E-2</c:v>
                </c:pt>
                <c:pt idx="5">
                  <c:v>2.2411462118986036E-2</c:v>
                </c:pt>
                <c:pt idx="6">
                  <c:v>2.4195860496205035E-2</c:v>
                </c:pt>
                <c:pt idx="7">
                  <c:v>2.6142318874335047E-2</c:v>
                </c:pt>
                <c:pt idx="8">
                  <c:v>2.662589320554698E-2</c:v>
                </c:pt>
                <c:pt idx="9">
                  <c:v>3.1884300933471055E-2</c:v>
                </c:pt>
                <c:pt idx="10">
                  <c:v>3.5623457853917961E-2</c:v>
                </c:pt>
                <c:pt idx="11">
                  <c:v>4.9801088730720977E-2</c:v>
                </c:pt>
                <c:pt idx="12">
                  <c:v>6.6694501271476025E-2</c:v>
                </c:pt>
                <c:pt idx="13">
                  <c:v>9.0141086506179025E-2</c:v>
                </c:pt>
                <c:pt idx="14">
                  <c:v>0.12240024457426701</c:v>
                </c:pt>
                <c:pt idx="15">
                  <c:v>0.183386171400998</c:v>
                </c:pt>
                <c:pt idx="16">
                  <c:v>0.25379577160618705</c:v>
                </c:pt>
                <c:pt idx="17">
                  <c:v>0.38704348484190698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2-4345-BFF4-C1E7C885FFF4}"/>
            </c:ext>
          </c:extLst>
        </c:ser>
        <c:ser>
          <c:idx val="1"/>
          <c:order val="1"/>
          <c:tx>
            <c:strRef>
              <c:f>DM_2019!$M$3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rgbClr val="2683C6">
                  <a:alpha val="97000"/>
                </a:srgbClr>
              </a:solidFill>
            </a:ln>
          </c:spPr>
          <c:marker>
            <c:symbol val="none"/>
          </c:marker>
          <c:cat>
            <c:numRef>
              <c:f>DM_2019!$B$4:$B$22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DM_2019!$M$4:$M$22</c:f>
              <c:numCache>
                <c:formatCode>#,##0.0000</c:formatCode>
                <c:ptCount val="19"/>
                <c:pt idx="0">
                  <c:v>1.8048919424899945E-2</c:v>
                </c:pt>
                <c:pt idx="1">
                  <c:v>2.842747422361902E-3</c:v>
                </c:pt>
                <c:pt idx="2">
                  <c:v>1.2913020619716997E-3</c:v>
                </c:pt>
                <c:pt idx="3">
                  <c:v>1.9101768310917366E-3</c:v>
                </c:pt>
                <c:pt idx="4">
                  <c:v>5.9276844877251822E-3</c:v>
                </c:pt>
                <c:pt idx="5">
                  <c:v>1.0863735478648162E-2</c:v>
                </c:pt>
                <c:pt idx="6">
                  <c:v>1.2783085105381398E-2</c:v>
                </c:pt>
                <c:pt idx="7">
                  <c:v>1.4767604265048973E-2</c:v>
                </c:pt>
                <c:pt idx="8">
                  <c:v>1.7095827257870178E-2</c:v>
                </c:pt>
                <c:pt idx="9">
                  <c:v>2.2915947723980312E-2</c:v>
                </c:pt>
                <c:pt idx="10">
                  <c:v>2.9696173506254198E-2</c:v>
                </c:pt>
                <c:pt idx="11">
                  <c:v>4.5439980256245072E-2</c:v>
                </c:pt>
                <c:pt idx="12">
                  <c:v>6.4169104484438799E-2</c:v>
                </c:pt>
                <c:pt idx="13">
                  <c:v>8.8095370798170092E-2</c:v>
                </c:pt>
                <c:pt idx="14">
                  <c:v>0.12087598567811142</c:v>
                </c:pt>
                <c:pt idx="15">
                  <c:v>0.18241147474558606</c:v>
                </c:pt>
                <c:pt idx="16">
                  <c:v>0.25281307180740609</c:v>
                </c:pt>
                <c:pt idx="17">
                  <c:v>0.38659341184202534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2-4345-BFF4-C1E7C885F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  <a:alpha val="97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layout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DM_2019!$Z$27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DM_2019!$AA$26:$AB$26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DM_2019!$AA$27:$AB$27</c:f>
              <c:numCache>
                <c:formatCode>0.00</c:formatCode>
                <c:ptCount val="2"/>
                <c:pt idx="0">
                  <c:v>71.089012949901772</c:v>
                </c:pt>
                <c:pt idx="1">
                  <c:v>77.566697257613825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A-488F-9DB7-3831E8768AAA}"/>
            </c:ext>
          </c:extLst>
        </c:ser>
        <c:ser>
          <c:idx val="1"/>
          <c:order val="1"/>
          <c:tx>
            <c:strRef>
              <c:f>DM_2019!$Z$28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DM_2019!$AA$26:$AB$26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DM_2019!$AA$28:$AB$28</c:f>
              <c:numCache>
                <c:formatCode>0.00</c:formatCode>
                <c:ptCount val="2"/>
                <c:pt idx="0">
                  <c:v>68.046242037857198</c:v>
                </c:pt>
                <c:pt idx="1">
                  <c:v>76.707836951904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AA-488F-9DB7-3831E8768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DM_2010!$I$26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DM_2010!$B$27:$B$45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DM_2010!$I$27:$I$45</c:f>
              <c:numCache>
                <c:formatCode>0.0000</c:formatCode>
                <c:ptCount val="19"/>
                <c:pt idx="0">
                  <c:v>1.3183770204211021E-2</c:v>
                </c:pt>
                <c:pt idx="1">
                  <c:v>2.2330013902920332E-3</c:v>
                </c:pt>
                <c:pt idx="2">
                  <c:v>1.2077002893700062E-3</c:v>
                </c:pt>
                <c:pt idx="3">
                  <c:v>1.7269275719230537E-3</c:v>
                </c:pt>
                <c:pt idx="4">
                  <c:v>5.8190499250330152E-3</c:v>
                </c:pt>
                <c:pt idx="5">
                  <c:v>6.9962354326279508E-3</c:v>
                </c:pt>
                <c:pt idx="6">
                  <c:v>7.6544521307250202E-3</c:v>
                </c:pt>
                <c:pt idx="7">
                  <c:v>8.9932133970259676E-3</c:v>
                </c:pt>
                <c:pt idx="8">
                  <c:v>8.1522097378869951E-3</c:v>
                </c:pt>
                <c:pt idx="9">
                  <c:v>1.1150489751333037E-2</c:v>
                </c:pt>
                <c:pt idx="10">
                  <c:v>1.6741881648169032E-2</c:v>
                </c:pt>
                <c:pt idx="11">
                  <c:v>2.5112413810598033E-2</c:v>
                </c:pt>
                <c:pt idx="12">
                  <c:v>4.1489238852457033E-2</c:v>
                </c:pt>
                <c:pt idx="13">
                  <c:v>6.4252736273125E-2</c:v>
                </c:pt>
                <c:pt idx="14">
                  <c:v>9.7453646705484953E-2</c:v>
                </c:pt>
                <c:pt idx="15">
                  <c:v>0.15134895904701395</c:v>
                </c:pt>
                <c:pt idx="16">
                  <c:v>0.234209993993996</c:v>
                </c:pt>
                <c:pt idx="17">
                  <c:v>0.347973605012598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07-49E7-8C0B-F609FD4BAA07}"/>
            </c:ext>
          </c:extLst>
        </c:ser>
        <c:ser>
          <c:idx val="1"/>
          <c:order val="1"/>
          <c:tx>
            <c:strRef>
              <c:f>DM_2010!$M$26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DM_2010!$B$27:$B$45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DM_2010!$M$27:$M$45</c:f>
              <c:numCache>
                <c:formatCode>#,##0.0000</c:formatCode>
                <c:ptCount val="19"/>
                <c:pt idx="0">
                  <c:v>1.3117558848678823E-2</c:v>
                </c:pt>
                <c:pt idx="1">
                  <c:v>2.0837671325437679E-3</c:v>
                </c:pt>
                <c:pt idx="2">
                  <c:v>1.030433855151891E-3</c:v>
                </c:pt>
                <c:pt idx="3">
                  <c:v>1.2407740407784917E-3</c:v>
                </c:pt>
                <c:pt idx="4">
                  <c:v>3.7243925284453638E-3</c:v>
                </c:pt>
                <c:pt idx="5">
                  <c:v>3.7463098403786033E-3</c:v>
                </c:pt>
                <c:pt idx="6">
                  <c:v>3.858778953172548E-3</c:v>
                </c:pt>
                <c:pt idx="7">
                  <c:v>5.4615208343877786E-3</c:v>
                </c:pt>
                <c:pt idx="8">
                  <c:v>6.2787363369065652E-3</c:v>
                </c:pt>
                <c:pt idx="9">
                  <c:v>9.187451989265738E-3</c:v>
                </c:pt>
                <c:pt idx="10">
                  <c:v>1.4957158477982957E-2</c:v>
                </c:pt>
                <c:pt idx="11">
                  <c:v>2.3882919414929038E-2</c:v>
                </c:pt>
                <c:pt idx="12">
                  <c:v>4.0744867785424188E-2</c:v>
                </c:pt>
                <c:pt idx="13">
                  <c:v>6.3575702494032327E-2</c:v>
                </c:pt>
                <c:pt idx="14">
                  <c:v>9.6600124540138887E-2</c:v>
                </c:pt>
                <c:pt idx="15">
                  <c:v>0.15090842687517936</c:v>
                </c:pt>
                <c:pt idx="16">
                  <c:v>0.23379051869383438</c:v>
                </c:pt>
                <c:pt idx="17">
                  <c:v>0.34768829038435711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07-49E7-8C0B-F609FD4BA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DM_2010!$I$3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DM_2010!$B$4:$B$22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DM_2010!$I$4:$I$22</c:f>
              <c:numCache>
                <c:formatCode>0.0000</c:formatCode>
                <c:ptCount val="19"/>
                <c:pt idx="0">
                  <c:v>1.6674117913211051E-2</c:v>
                </c:pt>
                <c:pt idx="1">
                  <c:v>3.29641632481803E-3</c:v>
                </c:pt>
                <c:pt idx="2">
                  <c:v>1.9323811458840101E-3</c:v>
                </c:pt>
                <c:pt idx="3">
                  <c:v>3.5242837493010271E-3</c:v>
                </c:pt>
                <c:pt idx="4">
                  <c:v>2.2709448913452945E-2</c:v>
                </c:pt>
                <c:pt idx="5">
                  <c:v>4.236706266530299E-2</c:v>
                </c:pt>
                <c:pt idx="6">
                  <c:v>5.243655840085204E-2</c:v>
                </c:pt>
                <c:pt idx="7">
                  <c:v>5.5927259563426035E-2</c:v>
                </c:pt>
                <c:pt idx="8">
                  <c:v>4.6625668171834E-2</c:v>
                </c:pt>
                <c:pt idx="9">
                  <c:v>4.5138093742021046E-2</c:v>
                </c:pt>
                <c:pt idx="10">
                  <c:v>4.3496884333596997E-2</c:v>
                </c:pt>
                <c:pt idx="11">
                  <c:v>5.2035455788993046E-2</c:v>
                </c:pt>
                <c:pt idx="12">
                  <c:v>7.2350372275768016E-2</c:v>
                </c:pt>
                <c:pt idx="13">
                  <c:v>9.1991828306282053E-2</c:v>
                </c:pt>
                <c:pt idx="14">
                  <c:v>0.14929011754258703</c:v>
                </c:pt>
                <c:pt idx="15">
                  <c:v>0.19145326387886896</c:v>
                </c:pt>
                <c:pt idx="16">
                  <c:v>0.28493554722399606</c:v>
                </c:pt>
                <c:pt idx="17">
                  <c:v>0.39433326490182397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67-43FD-833E-68AEF8B8F325}"/>
            </c:ext>
          </c:extLst>
        </c:ser>
        <c:ser>
          <c:idx val="1"/>
          <c:order val="1"/>
          <c:tx>
            <c:strRef>
              <c:f>DM_2010!$M$3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numRef>
              <c:f>DM_2010!$B$4:$B$22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DM_2010!$M$4:$M$22</c:f>
              <c:numCache>
                <c:formatCode>#,##0.0000</c:formatCode>
                <c:ptCount val="19"/>
                <c:pt idx="0">
                  <c:v>1.6577285048097634E-2</c:v>
                </c:pt>
                <c:pt idx="1">
                  <c:v>2.9168659149793053E-3</c:v>
                </c:pt>
                <c:pt idx="2">
                  <c:v>1.7601245199917459E-3</c:v>
                </c:pt>
                <c:pt idx="3">
                  <c:v>2.4268281988523155E-3</c:v>
                </c:pt>
                <c:pt idx="4">
                  <c:v>6.7492528145666197E-3</c:v>
                </c:pt>
                <c:pt idx="5">
                  <c:v>1.0329227388442663E-2</c:v>
                </c:pt>
                <c:pt idx="6">
                  <c:v>1.3532325498595399E-2</c:v>
                </c:pt>
                <c:pt idx="7">
                  <c:v>1.5929419992344984E-2</c:v>
                </c:pt>
                <c:pt idx="8">
                  <c:v>1.7741998730052333E-2</c:v>
                </c:pt>
                <c:pt idx="9">
                  <c:v>2.4057464173971033E-2</c:v>
                </c:pt>
                <c:pt idx="10">
                  <c:v>2.7330541963673571E-2</c:v>
                </c:pt>
                <c:pt idx="11">
                  <c:v>4.0562157478474137E-2</c:v>
                </c:pt>
                <c:pt idx="12">
                  <c:v>6.4509405668441211E-2</c:v>
                </c:pt>
                <c:pt idx="13">
                  <c:v>8.6857611334589135E-2</c:v>
                </c:pt>
                <c:pt idx="14">
                  <c:v>0.14367787737023752</c:v>
                </c:pt>
                <c:pt idx="15">
                  <c:v>0.18751203682474848</c:v>
                </c:pt>
                <c:pt idx="16">
                  <c:v>0.28236934917102141</c:v>
                </c:pt>
                <c:pt idx="17">
                  <c:v>0.39304970032212116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67-43FD-833E-68AEF8B8F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layout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DM_2010!$Z$27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DM_2010!$AA$26:$AB$26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DM_2010!$AA$27:$AB$27</c:f>
              <c:numCache>
                <c:formatCode>0.00</c:formatCode>
                <c:ptCount val="2"/>
                <c:pt idx="0">
                  <c:v>70.676068456809006</c:v>
                </c:pt>
                <c:pt idx="1">
                  <c:v>76.582024153235551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E-4825-8009-6F49412E3DBE}"/>
            </c:ext>
          </c:extLst>
        </c:ser>
        <c:ser>
          <c:idx val="1"/>
          <c:order val="1"/>
          <c:tx>
            <c:strRef>
              <c:f>DM_2010!$Z$28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DM_2010!$AA$26:$AB$26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DM_2010!$AA$28:$AB$28</c:f>
              <c:numCache>
                <c:formatCode>0.00</c:formatCode>
                <c:ptCount val="2"/>
                <c:pt idx="0">
                  <c:v>62.494616898887898</c:v>
                </c:pt>
                <c:pt idx="1">
                  <c:v>75.078612704422099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E-4825-8009-6F49412E3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DM_2021!$I$26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DM_2021!$B$27:$B$45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DM_2021!$I$27:$I$45</c:f>
              <c:numCache>
                <c:formatCode>0.0000</c:formatCode>
                <c:ptCount val="19"/>
                <c:pt idx="0">
                  <c:v>1.3657841768187962E-2</c:v>
                </c:pt>
                <c:pt idx="1">
                  <c:v>2.3129090427600474E-3</c:v>
                </c:pt>
                <c:pt idx="2">
                  <c:v>1.1945211332670125E-3</c:v>
                </c:pt>
                <c:pt idx="3">
                  <c:v>1.5197792572679836E-3</c:v>
                </c:pt>
                <c:pt idx="4">
                  <c:v>3.6756623154100554E-3</c:v>
                </c:pt>
                <c:pt idx="5">
                  <c:v>5.9466410015379667E-3</c:v>
                </c:pt>
                <c:pt idx="6">
                  <c:v>6.1440024561120188E-3</c:v>
                </c:pt>
                <c:pt idx="7">
                  <c:v>8.0220636655370381E-3</c:v>
                </c:pt>
                <c:pt idx="8">
                  <c:v>9.9110311323099554E-3</c:v>
                </c:pt>
                <c:pt idx="9">
                  <c:v>1.4184057743516054E-2</c:v>
                </c:pt>
                <c:pt idx="10">
                  <c:v>1.9771619963895981E-2</c:v>
                </c:pt>
                <c:pt idx="11">
                  <c:v>2.8931957612596038E-2</c:v>
                </c:pt>
                <c:pt idx="12">
                  <c:v>4.9514265295556026E-2</c:v>
                </c:pt>
                <c:pt idx="13">
                  <c:v>7.3371095709404033E-2</c:v>
                </c:pt>
                <c:pt idx="14">
                  <c:v>0.10655004763245501</c:v>
                </c:pt>
                <c:pt idx="15">
                  <c:v>0.15530562636972201</c:v>
                </c:pt>
                <c:pt idx="16">
                  <c:v>0.23276856850774796</c:v>
                </c:pt>
                <c:pt idx="17">
                  <c:v>0.34754528388969597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1-497E-9540-C4C586DC59F8}"/>
            </c:ext>
          </c:extLst>
        </c:ser>
        <c:ser>
          <c:idx val="1"/>
          <c:order val="1"/>
          <c:tx>
            <c:strRef>
              <c:f>DM_2021!$M$26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DM_2021!$B$27:$B$45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DM_2021!$M$27:$M$45</c:f>
              <c:numCache>
                <c:formatCode>#,##0.0000</c:formatCode>
                <c:ptCount val="19"/>
                <c:pt idx="0">
                  <c:v>1.3614544964095088E-2</c:v>
                </c:pt>
                <c:pt idx="1">
                  <c:v>2.2406835480263121E-3</c:v>
                </c:pt>
                <c:pt idx="2">
                  <c:v>1.1259288052818395E-3</c:v>
                </c:pt>
                <c:pt idx="3">
                  <c:v>1.3906375973360419E-3</c:v>
                </c:pt>
                <c:pt idx="4">
                  <c:v>3.04754281774966E-3</c:v>
                </c:pt>
                <c:pt idx="5">
                  <c:v>4.0442389379319321E-3</c:v>
                </c:pt>
                <c:pt idx="6">
                  <c:v>4.4201698860034666E-3</c:v>
                </c:pt>
                <c:pt idx="7">
                  <c:v>5.8966724797319126E-3</c:v>
                </c:pt>
                <c:pt idx="8">
                  <c:v>8.2086847974114363E-3</c:v>
                </c:pt>
                <c:pt idx="9">
                  <c:v>1.3253113013694695E-2</c:v>
                </c:pt>
                <c:pt idx="10">
                  <c:v>1.9129979875130543E-2</c:v>
                </c:pt>
                <c:pt idx="11">
                  <c:v>2.8318698255051622E-2</c:v>
                </c:pt>
                <c:pt idx="12">
                  <c:v>4.9301800996062739E-2</c:v>
                </c:pt>
                <c:pt idx="13">
                  <c:v>7.3183599226434803E-2</c:v>
                </c:pt>
                <c:pt idx="14">
                  <c:v>0.10638180310207745</c:v>
                </c:pt>
                <c:pt idx="15">
                  <c:v>0.15508942558249283</c:v>
                </c:pt>
                <c:pt idx="16">
                  <c:v>0.23247788713633588</c:v>
                </c:pt>
                <c:pt idx="17">
                  <c:v>0.34754528388969597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51-497E-9540-C4C586DC5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DM_2021!$I$3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DM_2021!$B$4:$B$22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DM_2021!$I$4:$I$22</c:f>
              <c:numCache>
                <c:formatCode>0.0000</c:formatCode>
                <c:ptCount val="19"/>
                <c:pt idx="0">
                  <c:v>1.6632594268942036E-2</c:v>
                </c:pt>
                <c:pt idx="1">
                  <c:v>3.3429509891269582E-3</c:v>
                </c:pt>
                <c:pt idx="2">
                  <c:v>1.4988758431180305E-3</c:v>
                </c:pt>
                <c:pt idx="3">
                  <c:v>2.6147321130219892E-3</c:v>
                </c:pt>
                <c:pt idx="4">
                  <c:v>1.1105385884599972E-2</c:v>
                </c:pt>
                <c:pt idx="5">
                  <c:v>1.8722512545554015E-2</c:v>
                </c:pt>
                <c:pt idx="6">
                  <c:v>2.3966397647394055E-2</c:v>
                </c:pt>
                <c:pt idx="7">
                  <c:v>2.668162744568503E-2</c:v>
                </c:pt>
                <c:pt idx="8">
                  <c:v>2.9556305661323945E-2</c:v>
                </c:pt>
                <c:pt idx="9">
                  <c:v>3.2704134654161998E-2</c:v>
                </c:pt>
                <c:pt idx="10">
                  <c:v>4.1984397121905048E-2</c:v>
                </c:pt>
                <c:pt idx="11">
                  <c:v>5.6319384918381954E-2</c:v>
                </c:pt>
                <c:pt idx="12">
                  <c:v>7.5784514920141044E-2</c:v>
                </c:pt>
                <c:pt idx="13">
                  <c:v>0.11300848291611398</c:v>
                </c:pt>
                <c:pt idx="14">
                  <c:v>0.15452533536940305</c:v>
                </c:pt>
                <c:pt idx="15">
                  <c:v>0.22502933832366301</c:v>
                </c:pt>
                <c:pt idx="16">
                  <c:v>0.28688880087066304</c:v>
                </c:pt>
                <c:pt idx="17">
                  <c:v>0.40803062899718801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AA-4607-9187-59177E7D2163}"/>
            </c:ext>
          </c:extLst>
        </c:ser>
        <c:ser>
          <c:idx val="1"/>
          <c:order val="1"/>
          <c:tx>
            <c:strRef>
              <c:f>DM_2021!$M$3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numRef>
              <c:f>DM_2021!$B$4:$B$22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DM_2021!$M$4:$M$22</c:f>
              <c:numCache>
                <c:formatCode>#,##0.0000</c:formatCode>
                <c:ptCount val="19"/>
                <c:pt idx="0">
                  <c:v>1.6590957490992153E-2</c:v>
                </c:pt>
                <c:pt idx="1">
                  <c:v>3.2732148518972437E-3</c:v>
                </c:pt>
                <c:pt idx="2">
                  <c:v>1.3911144231384398E-3</c:v>
                </c:pt>
                <c:pt idx="3">
                  <c:v>2.3670219352229793E-3</c:v>
                </c:pt>
                <c:pt idx="4">
                  <c:v>6.2248773223610998E-3</c:v>
                </c:pt>
                <c:pt idx="5">
                  <c:v>8.181346304848458E-3</c:v>
                </c:pt>
                <c:pt idx="6">
                  <c:v>1.165388955833957E-2</c:v>
                </c:pt>
                <c:pt idx="7">
                  <c:v>1.3739509214106715E-2</c:v>
                </c:pt>
                <c:pt idx="8">
                  <c:v>1.8125478246247884E-2</c:v>
                </c:pt>
                <c:pt idx="9">
                  <c:v>2.2742639035722267E-2</c:v>
                </c:pt>
                <c:pt idx="10">
                  <c:v>3.5226549672418783E-2</c:v>
                </c:pt>
                <c:pt idx="11">
                  <c:v>5.178043003189281E-2</c:v>
                </c:pt>
                <c:pt idx="12">
                  <c:v>7.2446371664984799E-2</c:v>
                </c:pt>
                <c:pt idx="13">
                  <c:v>0.11094483337155381</c:v>
                </c:pt>
                <c:pt idx="14">
                  <c:v>0.15262647227843595</c:v>
                </c:pt>
                <c:pt idx="15">
                  <c:v>0.22316578679368249</c:v>
                </c:pt>
                <c:pt idx="16">
                  <c:v>0.2859596439905171</c:v>
                </c:pt>
                <c:pt idx="17">
                  <c:v>0.40781834231960523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A-4607-9187-59177E7D2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layout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DM_2021!$Z$27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DM_2021!$AA$26:$AB$26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DM_2021!$AA$27:$AB$27</c:f>
              <c:numCache>
                <c:formatCode>0.00</c:formatCode>
                <c:ptCount val="2"/>
                <c:pt idx="0">
                  <c:v>69.652105238452165</c:v>
                </c:pt>
                <c:pt idx="1">
                  <c:v>75.512866776762067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F-491D-9468-58F4199628E1}"/>
            </c:ext>
          </c:extLst>
        </c:ser>
        <c:ser>
          <c:idx val="1"/>
          <c:order val="1"/>
          <c:tx>
            <c:strRef>
              <c:f>DM_2021!$Z$28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DM_2021!$AA$26:$AB$26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DM_2021!$AA$28:$AB$28</c:f>
              <c:numCache>
                <c:formatCode>0.00</c:formatCode>
                <c:ptCount val="2"/>
                <c:pt idx="0">
                  <c:v>66.491437045186501</c:v>
                </c:pt>
                <c:pt idx="1">
                  <c:v>74.546187498537705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F-491D-9468-58F419962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4.xml"/><Relationship Id="rId6" Type="http://schemas.openxmlformats.org/officeDocument/2006/relationships/image" Target="../media/image5.png"/><Relationship Id="rId11" Type="http://schemas.openxmlformats.org/officeDocument/2006/relationships/chart" Target="../charts/chart5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chart" Target="../charts/chart7.xml"/><Relationship Id="rId6" Type="http://schemas.openxmlformats.org/officeDocument/2006/relationships/image" Target="../media/image5.png"/><Relationship Id="rId11" Type="http://schemas.openxmlformats.org/officeDocument/2006/relationships/chart" Target="../charts/chart8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41276</xdr:colOff>
      <xdr:row>2</xdr:row>
      <xdr:rowOff>9715</xdr:rowOff>
    </xdr:from>
    <xdr:ext cx="5696712" cy="4636008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907D68DC-3A2F-4D6B-BCB3-5E077A756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62F14DFD-C22E-4DAC-B081-4B26FE4700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54550" y="505777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32B2E5BB-EE82-448C-9D62-705DD4ABE17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686425" y="506253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5" name="image6.png" title="Image">
          <a:extLst>
            <a:ext uri="{FF2B5EF4-FFF2-40B4-BE49-F238E27FC236}">
              <a16:creationId xmlns:a16="http://schemas.microsoft.com/office/drawing/2014/main" id="{394074CB-6772-4BC2-8182-8E0BF99F78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34150" y="50625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97E4CD43-562A-4B83-9C40-7D986CEAD15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483600" y="50625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67506604-F8DF-4EFA-9338-AE628DEDFB5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445625" y="506253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8" name="image5.png" title="Image">
          <a:extLst>
            <a:ext uri="{FF2B5EF4-FFF2-40B4-BE49-F238E27FC236}">
              <a16:creationId xmlns:a16="http://schemas.microsoft.com/office/drawing/2014/main" id="{4C4FB073-EADC-424A-8DE9-74BD940D5431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369550" y="50577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9" name="image4.png" title="Image">
          <a:extLst>
            <a:ext uri="{FF2B5EF4-FFF2-40B4-BE49-F238E27FC236}">
              <a16:creationId xmlns:a16="http://schemas.microsoft.com/office/drawing/2014/main" id="{24E9E00B-23BE-478D-AF45-8E81B9A04B1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293600" y="505777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10" name="image3.png" title="Image">
          <a:extLst>
            <a:ext uri="{FF2B5EF4-FFF2-40B4-BE49-F238E27FC236}">
              <a16:creationId xmlns:a16="http://schemas.microsoft.com/office/drawing/2014/main" id="{DF701539-5FB2-443D-8911-796233E00C8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217650" y="50577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483626A5-AC5B-475B-BB8C-FB916DF4C69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065625" y="50577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12" name="image7.png" title="Image">
          <a:extLst>
            <a:ext uri="{FF2B5EF4-FFF2-40B4-BE49-F238E27FC236}">
              <a16:creationId xmlns:a16="http://schemas.microsoft.com/office/drawing/2014/main" id="{FEE9362B-FF64-4042-8720-BF165B366DB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49630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13" name="image2.png" title="Image">
          <a:extLst>
            <a:ext uri="{FF2B5EF4-FFF2-40B4-BE49-F238E27FC236}">
              <a16:creationId xmlns:a16="http://schemas.microsoft.com/office/drawing/2014/main" id="{D35AEE4F-A816-47A8-833B-CBD8D971F2B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420225" y="45561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14" name="image9.png" title="Image">
          <a:extLst>
            <a:ext uri="{FF2B5EF4-FFF2-40B4-BE49-F238E27FC236}">
              <a16:creationId xmlns:a16="http://schemas.microsoft.com/office/drawing/2014/main" id="{ECC0C04A-E846-4C30-AB5C-CD8029BA731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86300" y="45085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15" name="image8.png" title="Image">
          <a:extLst>
            <a:ext uri="{FF2B5EF4-FFF2-40B4-BE49-F238E27FC236}">
              <a16:creationId xmlns:a16="http://schemas.microsoft.com/office/drawing/2014/main" id="{7A4E09CD-76D2-4AA7-A119-024246666E3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641975" y="45561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16" name="image6.png" title="Image">
          <a:extLst>
            <a:ext uri="{FF2B5EF4-FFF2-40B4-BE49-F238E27FC236}">
              <a16:creationId xmlns:a16="http://schemas.microsoft.com/office/drawing/2014/main" id="{6ADC55F1-87D6-42F6-A9AB-AF328FF6EC4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7860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17" name="image5.png" title="Image">
          <a:extLst>
            <a:ext uri="{FF2B5EF4-FFF2-40B4-BE49-F238E27FC236}">
              <a16:creationId xmlns:a16="http://schemas.microsoft.com/office/drawing/2014/main" id="{CEA44CE0-1B71-444A-A5AD-5E752608E4F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39495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18" name="image4.png" title="Image">
          <a:extLst>
            <a:ext uri="{FF2B5EF4-FFF2-40B4-BE49-F238E27FC236}">
              <a16:creationId xmlns:a16="http://schemas.microsoft.com/office/drawing/2014/main" id="{4B277884-2740-4CD9-A27E-2B95F5C0F7F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344400" y="43815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19" name="image3.png" title="Image">
          <a:extLst>
            <a:ext uri="{FF2B5EF4-FFF2-40B4-BE49-F238E27FC236}">
              <a16:creationId xmlns:a16="http://schemas.microsoft.com/office/drawing/2014/main" id="{41BFA287-2D2E-447E-8E03-207628D8F9D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24305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91284A07-7E89-4C08-BE19-E1EB5039FE8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129125" y="43815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841374</xdr:colOff>
      <xdr:row>2</xdr:row>
      <xdr:rowOff>0</xdr:rowOff>
    </xdr:from>
    <xdr:ext cx="5699126" cy="4635500"/>
    <xdr:graphicFrame macro="">
      <xdr:nvGraphicFramePr>
        <xdr:cNvPr id="21" name="Chart 2" title="Chart">
          <a:extLst>
            <a:ext uri="{FF2B5EF4-FFF2-40B4-BE49-F238E27FC236}">
              <a16:creationId xmlns:a16="http://schemas.microsoft.com/office/drawing/2014/main" id="{63C062C1-7608-4B83-82B7-4ACA64A82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506940</xdr:colOff>
      <xdr:row>29</xdr:row>
      <xdr:rowOff>38100</xdr:rowOff>
    </xdr:from>
    <xdr:to>
      <xdr:col>32</xdr:col>
      <xdr:colOff>736600</xdr:colOff>
      <xdr:row>44</xdr:row>
      <xdr:rowOff>177801</xdr:rowOff>
    </xdr:to>
    <xdr:graphicFrame macro="">
      <xdr:nvGraphicFramePr>
        <xdr:cNvPr id="22" name="Chart 33">
          <a:extLst>
            <a:ext uri="{FF2B5EF4-FFF2-40B4-BE49-F238E27FC236}">
              <a16:creationId xmlns:a16="http://schemas.microsoft.com/office/drawing/2014/main" id="{47F61450-812D-4B8D-9663-F686FF4E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41276</xdr:colOff>
      <xdr:row>2</xdr:row>
      <xdr:rowOff>9715</xdr:rowOff>
    </xdr:from>
    <xdr:ext cx="5696712" cy="4636008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907D68DC-3A2F-4D6B-BCB3-5E077A756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62F14DFD-C22E-4DAC-B081-4B26FE4700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54550" y="505777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32B2E5BB-EE82-448C-9D62-705DD4ABE17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686425" y="506253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5" name="image6.png" title="Image">
          <a:extLst>
            <a:ext uri="{FF2B5EF4-FFF2-40B4-BE49-F238E27FC236}">
              <a16:creationId xmlns:a16="http://schemas.microsoft.com/office/drawing/2014/main" id="{394074CB-6772-4BC2-8182-8E0BF99F78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34150" y="50625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97E4CD43-562A-4B83-9C40-7D986CEAD15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483600" y="50625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67506604-F8DF-4EFA-9338-AE628DEDFB5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445625" y="506253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8" name="image5.png" title="Image">
          <a:extLst>
            <a:ext uri="{FF2B5EF4-FFF2-40B4-BE49-F238E27FC236}">
              <a16:creationId xmlns:a16="http://schemas.microsoft.com/office/drawing/2014/main" id="{4C4FB073-EADC-424A-8DE9-74BD940D5431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369550" y="50577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9" name="image4.png" title="Image">
          <a:extLst>
            <a:ext uri="{FF2B5EF4-FFF2-40B4-BE49-F238E27FC236}">
              <a16:creationId xmlns:a16="http://schemas.microsoft.com/office/drawing/2014/main" id="{24E9E00B-23BE-478D-AF45-8E81B9A04B1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293600" y="505777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10" name="image3.png" title="Image">
          <a:extLst>
            <a:ext uri="{FF2B5EF4-FFF2-40B4-BE49-F238E27FC236}">
              <a16:creationId xmlns:a16="http://schemas.microsoft.com/office/drawing/2014/main" id="{DF701539-5FB2-443D-8911-796233E00C8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217650" y="50577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483626A5-AC5B-475B-BB8C-FB916DF4C69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065625" y="50577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12" name="image7.png" title="Image">
          <a:extLst>
            <a:ext uri="{FF2B5EF4-FFF2-40B4-BE49-F238E27FC236}">
              <a16:creationId xmlns:a16="http://schemas.microsoft.com/office/drawing/2014/main" id="{FEE9362B-FF64-4042-8720-BF165B366DB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49630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13" name="image2.png" title="Image">
          <a:extLst>
            <a:ext uri="{FF2B5EF4-FFF2-40B4-BE49-F238E27FC236}">
              <a16:creationId xmlns:a16="http://schemas.microsoft.com/office/drawing/2014/main" id="{D35AEE4F-A816-47A8-833B-CBD8D971F2B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420225" y="45561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14" name="image9.png" title="Image">
          <a:extLst>
            <a:ext uri="{FF2B5EF4-FFF2-40B4-BE49-F238E27FC236}">
              <a16:creationId xmlns:a16="http://schemas.microsoft.com/office/drawing/2014/main" id="{ECC0C04A-E846-4C30-AB5C-CD8029BA731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86300" y="45085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15" name="image8.png" title="Image">
          <a:extLst>
            <a:ext uri="{FF2B5EF4-FFF2-40B4-BE49-F238E27FC236}">
              <a16:creationId xmlns:a16="http://schemas.microsoft.com/office/drawing/2014/main" id="{7A4E09CD-76D2-4AA7-A119-024246666E3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641975" y="45561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16" name="image6.png" title="Image">
          <a:extLst>
            <a:ext uri="{FF2B5EF4-FFF2-40B4-BE49-F238E27FC236}">
              <a16:creationId xmlns:a16="http://schemas.microsoft.com/office/drawing/2014/main" id="{6ADC55F1-87D6-42F6-A9AB-AF328FF6EC4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7860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17" name="image5.png" title="Image">
          <a:extLst>
            <a:ext uri="{FF2B5EF4-FFF2-40B4-BE49-F238E27FC236}">
              <a16:creationId xmlns:a16="http://schemas.microsoft.com/office/drawing/2014/main" id="{CEA44CE0-1B71-444A-A5AD-5E752608E4F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39495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18" name="image4.png" title="Image">
          <a:extLst>
            <a:ext uri="{FF2B5EF4-FFF2-40B4-BE49-F238E27FC236}">
              <a16:creationId xmlns:a16="http://schemas.microsoft.com/office/drawing/2014/main" id="{4B277884-2740-4CD9-A27E-2B95F5C0F7F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344400" y="43815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19" name="image3.png" title="Image">
          <a:extLst>
            <a:ext uri="{FF2B5EF4-FFF2-40B4-BE49-F238E27FC236}">
              <a16:creationId xmlns:a16="http://schemas.microsoft.com/office/drawing/2014/main" id="{41BFA287-2D2E-447E-8E03-207628D8F9D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24305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91284A07-7E89-4C08-BE19-E1EB5039FE8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129125" y="43815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841374</xdr:colOff>
      <xdr:row>2</xdr:row>
      <xdr:rowOff>0</xdr:rowOff>
    </xdr:from>
    <xdr:ext cx="5699126" cy="4635500"/>
    <xdr:graphicFrame macro="">
      <xdr:nvGraphicFramePr>
        <xdr:cNvPr id="21" name="Chart 2" title="Chart">
          <a:extLst>
            <a:ext uri="{FF2B5EF4-FFF2-40B4-BE49-F238E27FC236}">
              <a16:creationId xmlns:a16="http://schemas.microsoft.com/office/drawing/2014/main" id="{63C062C1-7608-4B83-82B7-4ACA64A82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506940</xdr:colOff>
      <xdr:row>29</xdr:row>
      <xdr:rowOff>38100</xdr:rowOff>
    </xdr:from>
    <xdr:to>
      <xdr:col>32</xdr:col>
      <xdr:colOff>736600</xdr:colOff>
      <xdr:row>44</xdr:row>
      <xdr:rowOff>177801</xdr:rowOff>
    </xdr:to>
    <xdr:graphicFrame macro="">
      <xdr:nvGraphicFramePr>
        <xdr:cNvPr id="22" name="Chart 33">
          <a:extLst>
            <a:ext uri="{FF2B5EF4-FFF2-40B4-BE49-F238E27FC236}">
              <a16:creationId xmlns:a16="http://schemas.microsoft.com/office/drawing/2014/main" id="{47F61450-812D-4B8D-9663-F686FF4E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41276</xdr:colOff>
      <xdr:row>2</xdr:row>
      <xdr:rowOff>9715</xdr:rowOff>
    </xdr:from>
    <xdr:ext cx="5696712" cy="4636008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907D68DC-3A2F-4D6B-BCB3-5E077A756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62F14DFD-C22E-4DAC-B081-4B26FE4700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54550" y="505777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32B2E5BB-EE82-448C-9D62-705DD4ABE17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686425" y="506253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5" name="image6.png" title="Image">
          <a:extLst>
            <a:ext uri="{FF2B5EF4-FFF2-40B4-BE49-F238E27FC236}">
              <a16:creationId xmlns:a16="http://schemas.microsoft.com/office/drawing/2014/main" id="{394074CB-6772-4BC2-8182-8E0BF99F78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34150" y="50625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97E4CD43-562A-4B83-9C40-7D986CEAD15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483600" y="50625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67506604-F8DF-4EFA-9338-AE628DEDFB5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445625" y="506253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8" name="image5.png" title="Image">
          <a:extLst>
            <a:ext uri="{FF2B5EF4-FFF2-40B4-BE49-F238E27FC236}">
              <a16:creationId xmlns:a16="http://schemas.microsoft.com/office/drawing/2014/main" id="{4C4FB073-EADC-424A-8DE9-74BD940D5431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369550" y="50577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9" name="image4.png" title="Image">
          <a:extLst>
            <a:ext uri="{FF2B5EF4-FFF2-40B4-BE49-F238E27FC236}">
              <a16:creationId xmlns:a16="http://schemas.microsoft.com/office/drawing/2014/main" id="{24E9E00B-23BE-478D-AF45-8E81B9A04B1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293600" y="505777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10" name="image3.png" title="Image">
          <a:extLst>
            <a:ext uri="{FF2B5EF4-FFF2-40B4-BE49-F238E27FC236}">
              <a16:creationId xmlns:a16="http://schemas.microsoft.com/office/drawing/2014/main" id="{DF701539-5FB2-443D-8911-796233E00C8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217650" y="50577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483626A5-AC5B-475B-BB8C-FB916DF4C69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065625" y="50577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12" name="image7.png" title="Image">
          <a:extLst>
            <a:ext uri="{FF2B5EF4-FFF2-40B4-BE49-F238E27FC236}">
              <a16:creationId xmlns:a16="http://schemas.microsoft.com/office/drawing/2014/main" id="{FEE9362B-FF64-4042-8720-BF165B366DB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49630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13" name="image2.png" title="Image">
          <a:extLst>
            <a:ext uri="{FF2B5EF4-FFF2-40B4-BE49-F238E27FC236}">
              <a16:creationId xmlns:a16="http://schemas.microsoft.com/office/drawing/2014/main" id="{D35AEE4F-A816-47A8-833B-CBD8D971F2B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420225" y="45561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14" name="image9.png" title="Image">
          <a:extLst>
            <a:ext uri="{FF2B5EF4-FFF2-40B4-BE49-F238E27FC236}">
              <a16:creationId xmlns:a16="http://schemas.microsoft.com/office/drawing/2014/main" id="{ECC0C04A-E846-4C30-AB5C-CD8029BA731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86300" y="45085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15" name="image8.png" title="Image">
          <a:extLst>
            <a:ext uri="{FF2B5EF4-FFF2-40B4-BE49-F238E27FC236}">
              <a16:creationId xmlns:a16="http://schemas.microsoft.com/office/drawing/2014/main" id="{7A4E09CD-76D2-4AA7-A119-024246666E3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641975" y="45561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16" name="image6.png" title="Image">
          <a:extLst>
            <a:ext uri="{FF2B5EF4-FFF2-40B4-BE49-F238E27FC236}">
              <a16:creationId xmlns:a16="http://schemas.microsoft.com/office/drawing/2014/main" id="{6ADC55F1-87D6-42F6-A9AB-AF328FF6EC4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7860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17" name="image5.png" title="Image">
          <a:extLst>
            <a:ext uri="{FF2B5EF4-FFF2-40B4-BE49-F238E27FC236}">
              <a16:creationId xmlns:a16="http://schemas.microsoft.com/office/drawing/2014/main" id="{CEA44CE0-1B71-444A-A5AD-5E752608E4F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39495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18" name="image4.png" title="Image">
          <a:extLst>
            <a:ext uri="{FF2B5EF4-FFF2-40B4-BE49-F238E27FC236}">
              <a16:creationId xmlns:a16="http://schemas.microsoft.com/office/drawing/2014/main" id="{4B277884-2740-4CD9-A27E-2B95F5C0F7F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344400" y="43815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19" name="image3.png" title="Image">
          <a:extLst>
            <a:ext uri="{FF2B5EF4-FFF2-40B4-BE49-F238E27FC236}">
              <a16:creationId xmlns:a16="http://schemas.microsoft.com/office/drawing/2014/main" id="{41BFA287-2D2E-447E-8E03-207628D8F9D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24305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91284A07-7E89-4C08-BE19-E1EB5039FE8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129125" y="43815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841374</xdr:colOff>
      <xdr:row>2</xdr:row>
      <xdr:rowOff>0</xdr:rowOff>
    </xdr:from>
    <xdr:ext cx="5699126" cy="4635500"/>
    <xdr:graphicFrame macro="">
      <xdr:nvGraphicFramePr>
        <xdr:cNvPr id="21" name="Chart 2" title="Chart">
          <a:extLst>
            <a:ext uri="{FF2B5EF4-FFF2-40B4-BE49-F238E27FC236}">
              <a16:creationId xmlns:a16="http://schemas.microsoft.com/office/drawing/2014/main" id="{63C062C1-7608-4B83-82B7-4ACA64A82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506940</xdr:colOff>
      <xdr:row>29</xdr:row>
      <xdr:rowOff>38100</xdr:rowOff>
    </xdr:from>
    <xdr:to>
      <xdr:col>32</xdr:col>
      <xdr:colOff>736600</xdr:colOff>
      <xdr:row>44</xdr:row>
      <xdr:rowOff>177801</xdr:rowOff>
    </xdr:to>
    <xdr:graphicFrame macro="">
      <xdr:nvGraphicFramePr>
        <xdr:cNvPr id="22" name="Chart 33">
          <a:extLst>
            <a:ext uri="{FF2B5EF4-FFF2-40B4-BE49-F238E27FC236}">
              <a16:creationId xmlns:a16="http://schemas.microsoft.com/office/drawing/2014/main" id="{47F61450-812D-4B8D-9663-F686FF4E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be/Downloads/LT_CausaElimina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descolmex-my.sharepoint.com/personal/agpena_colmex_mx/Documents/DEP_22_26/7mo%20semestre/UNAM/Ejercicios/Excel/4.%20TV-COVID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Coefficients"/>
      <sheetName val="Model LTs"/>
      <sheetName val="Decrementos Múltiples"/>
      <sheetName val="LT"/>
      <sheetName val="Homicidios"/>
      <sheetName val="Defunciones generales"/>
    </sheetNames>
    <sheetDataSet>
      <sheetData sheetId="0"/>
      <sheetData sheetId="1">
        <row r="8">
          <cell r="AJ8">
            <v>1</v>
          </cell>
        </row>
        <row r="9">
          <cell r="AI9" t="str">
            <v>Princeton</v>
          </cell>
        </row>
        <row r="10">
          <cell r="AI10" t="str">
            <v>UN</v>
          </cell>
        </row>
        <row r="13">
          <cell r="AI13" t="str">
            <v>North</v>
          </cell>
        </row>
        <row r="14">
          <cell r="AI14" t="str">
            <v>South</v>
          </cell>
        </row>
        <row r="15">
          <cell r="AI15" t="str">
            <v>East</v>
          </cell>
        </row>
        <row r="16">
          <cell r="AI16" t="str">
            <v>West</v>
          </cell>
        </row>
        <row r="17">
          <cell r="AI17" t="str">
            <v>Latin America</v>
          </cell>
        </row>
        <row r="18">
          <cell r="AI18" t="str">
            <v>Chile</v>
          </cell>
        </row>
        <row r="19">
          <cell r="AI19" t="str">
            <v>South Asian</v>
          </cell>
        </row>
        <row r="20">
          <cell r="AI20" t="str">
            <v>Far East</v>
          </cell>
        </row>
        <row r="21">
          <cell r="AI21" t="str">
            <v>General</v>
          </cell>
        </row>
        <row r="24">
          <cell r="AI24" t="str">
            <v>Age of mother</v>
          </cell>
        </row>
        <row r="25">
          <cell r="AI25" t="str">
            <v>Duration since first birth</v>
          </cell>
        </row>
        <row r="26">
          <cell r="AI26" t="str">
            <v>Duration since marriage</v>
          </cell>
        </row>
        <row r="29">
          <cell r="AI29" t="str">
            <v>Male</v>
          </cell>
        </row>
        <row r="30">
          <cell r="AI30" t="str">
            <v>Female</v>
          </cell>
        </row>
        <row r="31">
          <cell r="AI31" t="str">
            <v>Both</v>
          </cell>
        </row>
      </sheetData>
      <sheetData sheetId="2"/>
      <sheetData sheetId="3"/>
      <sheetData sheetId="4">
        <row r="39">
          <cell r="E39">
            <v>0.13652500000000001</v>
          </cell>
        </row>
        <row r="96">
          <cell r="E96">
            <v>0.12823000000000001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B2:AB45"/>
  <sheetViews>
    <sheetView showGridLines="0" tabSelected="1" zoomScaleNormal="60" workbookViewId="0">
      <selection activeCell="B4" sqref="B4:B22"/>
    </sheetView>
  </sheetViews>
  <sheetFormatPr baseColWidth="10" defaultColWidth="14.42578125" defaultRowHeight="15" customHeight="1"/>
  <cols>
    <col min="1" max="1" width="6.85546875" customWidth="1"/>
    <col min="21" max="21" width="3.28515625" customWidth="1"/>
    <col min="22" max="23" width="16.42578125" hidden="1" customWidth="1"/>
  </cols>
  <sheetData>
    <row r="2" spans="2:23" ht="15" customHeight="1">
      <c r="B2" s="55" t="s">
        <v>68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2:23" ht="33" customHeight="1">
      <c r="B3" s="9" t="s">
        <v>69</v>
      </c>
      <c r="C3" s="10" t="s">
        <v>1</v>
      </c>
      <c r="D3" s="10" t="s">
        <v>70</v>
      </c>
      <c r="E3" s="10" t="s">
        <v>71</v>
      </c>
      <c r="F3" s="11"/>
      <c r="G3" s="12"/>
      <c r="H3" s="12"/>
      <c r="I3" s="12" t="s">
        <v>72</v>
      </c>
      <c r="J3" s="12"/>
      <c r="K3" s="13" t="s">
        <v>73</v>
      </c>
      <c r="L3" s="12"/>
      <c r="M3" s="12" t="s">
        <v>74</v>
      </c>
      <c r="N3" s="12"/>
      <c r="O3" s="12" t="s">
        <v>75</v>
      </c>
      <c r="P3" s="12"/>
      <c r="Q3" s="12" t="s">
        <v>76</v>
      </c>
      <c r="R3" s="12" t="s">
        <v>77</v>
      </c>
      <c r="S3" s="13" t="s">
        <v>78</v>
      </c>
      <c r="T3" s="14" t="s">
        <v>79</v>
      </c>
    </row>
    <row r="4" spans="2:23" ht="15" customHeight="1">
      <c r="B4" s="15">
        <v>0</v>
      </c>
      <c r="C4" s="16">
        <v>1</v>
      </c>
      <c r="D4" s="17">
        <f>'Defunciones generales'!D21</f>
        <v>472</v>
      </c>
      <c r="E4" s="17">
        <f>Homicidios!N26</f>
        <v>0</v>
      </c>
      <c r="F4" s="18">
        <f>(D4-E4)/D4</f>
        <v>1</v>
      </c>
      <c r="G4" s="19">
        <f>tabla_mortalidad_hombre_2019!G2</f>
        <v>100000</v>
      </c>
      <c r="H4" s="20">
        <f>tabla_mortalidad_hombre_2019!F2</f>
        <v>0.98195108057510005</v>
      </c>
      <c r="I4" s="21">
        <f t="shared" ref="I4:I22" si="0">1-H4</f>
        <v>1.8048919424899945E-2</v>
      </c>
      <c r="J4" s="22">
        <f>tabla_mortalidad_hombre_2019!D2</f>
        <v>9.4248404655999998E-2</v>
      </c>
      <c r="K4" s="23">
        <f>tabla_mortalidad_hombre_2019!K2</f>
        <v>68.046242037857198</v>
      </c>
      <c r="L4" s="21">
        <f>H4^F4</f>
        <v>0.98195108057510005</v>
      </c>
      <c r="M4" s="24">
        <f t="shared" ref="M4:M22" si="1">1-L4</f>
        <v>1.8048919424899945E-2</v>
      </c>
      <c r="N4" s="25">
        <v>100000</v>
      </c>
      <c r="O4" s="26">
        <f t="shared" ref="O4:O22" si="2">N4*M4</f>
        <v>1804.8919424899946</v>
      </c>
      <c r="P4" s="26">
        <f>C4+(F4*(I4/M4)*(J4-C4))</f>
        <v>9.424840465600004E-2</v>
      </c>
      <c r="Q4" s="25">
        <f t="shared" ref="Q4:Q20" si="3">(C4*N5)+(P4*O4)</f>
        <v>98365.21624366616</v>
      </c>
      <c r="R4" s="25">
        <f t="shared" ref="R4:R21" si="4">R5+Q4</f>
        <v>7108901.2949901773</v>
      </c>
      <c r="S4" s="27">
        <f t="shared" ref="S4:S22" si="5">R4/N4</f>
        <v>71.089012949901772</v>
      </c>
      <c r="T4" s="28">
        <f t="shared" ref="T4:T22" si="6">S4-K4</f>
        <v>3.0427709120445741</v>
      </c>
    </row>
    <row r="5" spans="2:23" ht="15" customHeight="1">
      <c r="B5" s="15">
        <v>1</v>
      </c>
      <c r="C5" s="16">
        <v>4</v>
      </c>
      <c r="D5" s="17">
        <f>'Defunciones generales'!D22</f>
        <v>90</v>
      </c>
      <c r="E5" s="17">
        <f>Homicidios!N27</f>
        <v>2.0019665683382497</v>
      </c>
      <c r="F5" s="18">
        <f t="shared" ref="F5:F22" si="7">(D5-E5)/D5</f>
        <v>0.97775592701846392</v>
      </c>
      <c r="G5" s="19">
        <f>tabla_mortalidad_hombre_2019!G3</f>
        <v>98195.108057510006</v>
      </c>
      <c r="H5" s="20">
        <f>tabla_mortalidad_hombre_2019!F3</f>
        <v>0.99709267381127498</v>
      </c>
      <c r="I5" s="21">
        <f t="shared" si="0"/>
        <v>2.9073261887250235E-3</v>
      </c>
      <c r="J5" s="22">
        <f>tabla_mortalidad_hombre_2019!D3</f>
        <v>1.5993295426559999</v>
      </c>
      <c r="K5" s="23">
        <f>tabla_mortalidad_hombre_2019!K3</f>
        <v>68.295245254115798</v>
      </c>
      <c r="L5" s="21">
        <f>H5^F5</f>
        <v>0.9971572525776381</v>
      </c>
      <c r="M5" s="24">
        <f t="shared" si="1"/>
        <v>2.842747422361902E-3</v>
      </c>
      <c r="N5" s="25">
        <f t="shared" ref="N5:N22" si="8">N4*L4</f>
        <v>98195.108057510006</v>
      </c>
      <c r="O5" s="26">
        <f t="shared" si="2"/>
        <v>279.14389031903499</v>
      </c>
      <c r="P5" s="26">
        <f>C5+(F5*(I5/M5)*(J5-C5))</f>
        <v>1.599407243766823</v>
      </c>
      <c r="Q5" s="25">
        <f t="shared" si="3"/>
        <v>392110.32142899343</v>
      </c>
      <c r="R5" s="25">
        <f t="shared" si="4"/>
        <v>7010536.0787465107</v>
      </c>
      <c r="S5" s="18">
        <f t="shared" si="5"/>
        <v>71.393944336215242</v>
      </c>
      <c r="T5" s="28">
        <f t="shared" si="6"/>
        <v>3.0986990820994436</v>
      </c>
      <c r="V5" s="56" t="s">
        <v>80</v>
      </c>
      <c r="W5" s="57"/>
    </row>
    <row r="6" spans="2:23" ht="15" customHeight="1">
      <c r="B6" s="15">
        <v>5</v>
      </c>
      <c r="C6" s="16">
        <v>5</v>
      </c>
      <c r="D6" s="17">
        <f>'Defunciones generales'!D23</f>
        <v>44</v>
      </c>
      <c r="E6" s="17">
        <f>Homicidios!N28</f>
        <v>2.0019665683382497</v>
      </c>
      <c r="F6" s="18">
        <f>(D6-E6)/D6</f>
        <v>0.95450075981049443</v>
      </c>
      <c r="G6" s="19">
        <f>tabla_mortalidad_hombre_2019!G4</f>
        <v>97909.622848249695</v>
      </c>
      <c r="H6" s="20">
        <f>tabla_mortalidad_hombre_2019!F4</f>
        <v>0.99864718567266997</v>
      </c>
      <c r="I6" s="21">
        <f t="shared" si="0"/>
        <v>1.3528143273300319E-3</v>
      </c>
      <c r="J6" s="22">
        <f>tabla_mortalidad_hombre_2019!D4</f>
        <v>2.5</v>
      </c>
      <c r="K6" s="23">
        <f>tabla_mortalidad_hombre_2019!K4</f>
        <v>64.4897174305964</v>
      </c>
      <c r="L6" s="21">
        <f t="shared" ref="L6:L22" si="9">H6^F6</f>
        <v>0.9987086979380283</v>
      </c>
      <c r="M6" s="24">
        <f t="shared" si="1"/>
        <v>1.2913020619716997E-3</v>
      </c>
      <c r="N6" s="25">
        <f t="shared" si="8"/>
        <v>97915.964167190978</v>
      </c>
      <c r="O6" s="26">
        <f t="shared" si="2"/>
        <v>126.43908642904077</v>
      </c>
      <c r="P6" s="26">
        <f>C6+(F6*(I6/M6)*(J6-C6))</f>
        <v>2.5000769739587509</v>
      </c>
      <c r="Q6" s="25">
        <f t="shared" si="3"/>
        <v>489263.73285239929</v>
      </c>
      <c r="R6" s="25">
        <f t="shared" si="4"/>
        <v>6618425.757317517</v>
      </c>
      <c r="S6" s="18">
        <f t="shared" si="5"/>
        <v>67.59291820909398</v>
      </c>
      <c r="T6" s="28">
        <f t="shared" si="6"/>
        <v>3.1032007784975804</v>
      </c>
      <c r="V6" s="58"/>
      <c r="W6" s="59"/>
    </row>
    <row r="7" spans="2:23" ht="15" customHeight="1">
      <c r="B7" s="15">
        <v>10</v>
      </c>
      <c r="C7" s="16">
        <v>5</v>
      </c>
      <c r="D7" s="17">
        <f>'Defunciones generales'!D24</f>
        <v>71</v>
      </c>
      <c r="E7" s="17">
        <f>Homicidios!N29</f>
        <v>6.0058997050147491</v>
      </c>
      <c r="F7" s="18">
        <f t="shared" si="7"/>
        <v>0.91540986330965135</v>
      </c>
      <c r="G7" s="19">
        <f>tabla_mortalidad_hombre_2019!G5</f>
        <v>97777.169307677104</v>
      </c>
      <c r="H7" s="20">
        <f>tabla_mortalidad_hombre_2019!F5</f>
        <v>0.99791349402686402</v>
      </c>
      <c r="I7" s="21">
        <f t="shared" si="0"/>
        <v>2.086505973135977E-3</v>
      </c>
      <c r="J7" s="22">
        <f>tabla_mortalidad_hombre_2019!D5</f>
        <v>2.5</v>
      </c>
      <c r="K7" s="23">
        <f>tabla_mortalidad_hombre_2019!K5</f>
        <v>59.573691609956697</v>
      </c>
      <c r="L7" s="21">
        <f t="shared" si="9"/>
        <v>0.99808982316890826</v>
      </c>
      <c r="M7" s="24">
        <f t="shared" si="1"/>
        <v>1.9101768310917366E-3</v>
      </c>
      <c r="N7" s="25">
        <f t="shared" si="8"/>
        <v>97789.52508076193</v>
      </c>
      <c r="O7" s="26">
        <f t="shared" si="2"/>
        <v>186.79528513273573</v>
      </c>
      <c r="P7" s="21">
        <f t="shared" ref="P7:P20" si="10">(((-5/24)*O6)+((2.5)*O7)+((5/24)*O8))/O7</f>
        <v>3.0042497689146579</v>
      </c>
      <c r="Q7" s="25">
        <f t="shared" si="3"/>
        <v>488574.8286703403</v>
      </c>
      <c r="R7" s="25">
        <f t="shared" si="4"/>
        <v>6129162.0244651176</v>
      </c>
      <c r="S7" s="18">
        <f t="shared" si="5"/>
        <v>62.677081409314496</v>
      </c>
      <c r="T7" s="28">
        <f t="shared" si="6"/>
        <v>3.1033897993577995</v>
      </c>
      <c r="V7" s="60"/>
      <c r="W7" s="61"/>
    </row>
    <row r="8" spans="2:23" ht="15" customHeight="1">
      <c r="B8" s="15">
        <v>15</v>
      </c>
      <c r="C8" s="16">
        <v>5</v>
      </c>
      <c r="D8" s="17">
        <f>'Defunciones generales'!D25</f>
        <v>366</v>
      </c>
      <c r="E8" s="17">
        <f>Homicidios!N30</f>
        <v>168.16519174041298</v>
      </c>
      <c r="F8" s="18">
        <f t="shared" si="7"/>
        <v>0.5405322630043361</v>
      </c>
      <c r="G8" s="19">
        <f>tabla_mortalidad_hombre_2019!G6</f>
        <v>97573.156659880304</v>
      </c>
      <c r="H8" s="20">
        <f>tabla_mortalidad_hombre_2019!F6</f>
        <v>0.98906125212435103</v>
      </c>
      <c r="I8" s="21">
        <f t="shared" si="0"/>
        <v>1.0938747875648969E-2</v>
      </c>
      <c r="J8" s="22">
        <f>tabla_mortalidad_hombre_2019!D6</f>
        <v>2.5</v>
      </c>
      <c r="K8" s="23">
        <f>tabla_mortalidad_hombre_2019!K6</f>
        <v>54.693025198655398</v>
      </c>
      <c r="L8" s="21">
        <f t="shared" si="9"/>
        <v>0.99407231551227482</v>
      </c>
      <c r="M8" s="24">
        <f t="shared" si="1"/>
        <v>5.9276844877251822E-3</v>
      </c>
      <c r="N8" s="25">
        <f t="shared" si="8"/>
        <v>97602.729795629188</v>
      </c>
      <c r="O8" s="26">
        <f t="shared" si="2"/>
        <v>578.55818736918354</v>
      </c>
      <c r="P8" s="21">
        <f t="shared" si="10"/>
        <v>2.8122883997048471</v>
      </c>
      <c r="Q8" s="25">
        <f t="shared" si="3"/>
        <v>486747.93052019266</v>
      </c>
      <c r="R8" s="25">
        <f t="shared" si="4"/>
        <v>5640587.195794777</v>
      </c>
      <c r="S8" s="18">
        <f t="shared" si="5"/>
        <v>57.791285219231355</v>
      </c>
      <c r="T8" s="28">
        <f t="shared" si="6"/>
        <v>3.0982600205759567</v>
      </c>
      <c r="V8" s="29" t="s">
        <v>81</v>
      </c>
      <c r="W8" s="29" t="s">
        <v>82</v>
      </c>
    </row>
    <row r="9" spans="2:23" ht="15" customHeight="1">
      <c r="B9" s="15">
        <v>20</v>
      </c>
      <c r="C9" s="16">
        <v>5</v>
      </c>
      <c r="D9" s="17">
        <f>'Defunciones generales'!D26</f>
        <v>711</v>
      </c>
      <c r="E9" s="17">
        <f>Homicidios!N31</f>
        <v>368.36184857423797</v>
      </c>
      <c r="F9" s="18">
        <f t="shared" si="7"/>
        <v>0.48191019891105769</v>
      </c>
      <c r="G9" s="19">
        <f>tabla_mortalidad_hombre_2019!G7</f>
        <v>96505.8284997468</v>
      </c>
      <c r="H9" s="20">
        <f>tabla_mortalidad_hombre_2019!F7</f>
        <v>0.97758853788101396</v>
      </c>
      <c r="I9" s="21">
        <f t="shared" si="0"/>
        <v>2.2411462118986036E-2</v>
      </c>
      <c r="J9" s="22">
        <f>tabla_mortalidad_hombre_2019!D7</f>
        <v>2.5</v>
      </c>
      <c r="K9" s="23">
        <f>tabla_mortalidad_hombre_2019!K7</f>
        <v>50.270265831921698</v>
      </c>
      <c r="L9" s="21">
        <f t="shared" si="9"/>
        <v>0.98913626452135184</v>
      </c>
      <c r="M9" s="24">
        <f t="shared" si="1"/>
        <v>1.0863735478648162E-2</v>
      </c>
      <c r="N9" s="25">
        <f t="shared" si="8"/>
        <v>97024.171608260003</v>
      </c>
      <c r="O9" s="26">
        <f t="shared" si="2"/>
        <v>1054.044935387102</v>
      </c>
      <c r="P9" s="21">
        <f t="shared" si="10"/>
        <v>2.628124698423933</v>
      </c>
      <c r="Q9" s="25">
        <f t="shared" si="3"/>
        <v>482620.79489230399</v>
      </c>
      <c r="R9" s="25">
        <f t="shared" si="4"/>
        <v>5153839.2652745843</v>
      </c>
      <c r="S9" s="18">
        <f t="shared" si="5"/>
        <v>53.119126706729027</v>
      </c>
      <c r="T9" s="28">
        <f t="shared" si="6"/>
        <v>2.848860874807329</v>
      </c>
      <c r="V9" s="30">
        <f>([2]TV!M53-[2]TV!M71)/[2]TV!J53</f>
        <v>66.401396448949356</v>
      </c>
      <c r="W9" s="30">
        <f>(R4-R22)/N4</f>
        <v>69.379239083753689</v>
      </c>
    </row>
    <row r="10" spans="2:23" ht="15" customHeight="1">
      <c r="B10" s="15">
        <v>25</v>
      </c>
      <c r="C10" s="16">
        <v>5</v>
      </c>
      <c r="D10" s="17">
        <f>'Defunciones generales'!D27</f>
        <v>719</v>
      </c>
      <c r="E10" s="17">
        <f>Homicidios!N32</f>
        <v>341.33529990167159</v>
      </c>
      <c r="F10" s="18">
        <f t="shared" si="7"/>
        <v>0.52526383880156946</v>
      </c>
      <c r="G10" s="19">
        <f>tabla_mortalidad_hombre_2019!G8</f>
        <v>94342.991780063297</v>
      </c>
      <c r="H10" s="20">
        <f>tabla_mortalidad_hombre_2019!F8</f>
        <v>0.97580413950379497</v>
      </c>
      <c r="I10" s="21">
        <f t="shared" si="0"/>
        <v>2.4195860496205035E-2</v>
      </c>
      <c r="J10" s="22">
        <f>tabla_mortalidad_hombre_2019!D8</f>
        <v>2.5</v>
      </c>
      <c r="K10" s="23">
        <f>tabla_mortalidad_hombre_2019!K8</f>
        <v>46.365411142674397</v>
      </c>
      <c r="L10" s="21">
        <f t="shared" si="9"/>
        <v>0.9872169148946186</v>
      </c>
      <c r="M10" s="24">
        <f t="shared" si="1"/>
        <v>1.2783085105381398E-2</v>
      </c>
      <c r="N10" s="25">
        <f t="shared" si="8"/>
        <v>95970.126672872895</v>
      </c>
      <c r="O10" s="26">
        <f t="shared" si="2"/>
        <v>1226.7942968335674</v>
      </c>
      <c r="P10" s="21">
        <f t="shared" si="10"/>
        <v>2.5586024460907555</v>
      </c>
      <c r="Q10" s="25">
        <f t="shared" si="3"/>
        <v>476855.54076892522</v>
      </c>
      <c r="R10" s="25">
        <f t="shared" si="4"/>
        <v>4671218.4703822806</v>
      </c>
      <c r="S10" s="18">
        <f t="shared" si="5"/>
        <v>48.673672030305411</v>
      </c>
      <c r="T10" s="28">
        <f t="shared" si="6"/>
        <v>2.3082608876310147</v>
      </c>
      <c r="V10" s="31" t="s">
        <v>83</v>
      </c>
      <c r="W10" s="30">
        <f>W9-V9</f>
        <v>2.9778426348043325</v>
      </c>
    </row>
    <row r="11" spans="2:23" ht="15" customHeight="1">
      <c r="B11" s="15">
        <v>30</v>
      </c>
      <c r="C11" s="16">
        <v>5</v>
      </c>
      <c r="D11" s="17">
        <f>'Defunciones generales'!D28</f>
        <v>717</v>
      </c>
      <c r="E11" s="17">
        <f>Homicidios!N33</f>
        <v>314.30875122910521</v>
      </c>
      <c r="F11" s="18">
        <f t="shared" si="7"/>
        <v>0.56163354082412109</v>
      </c>
      <c r="G11" s="19">
        <f>tabla_mortalidad_hombre_2019!G9</f>
        <v>92060.281912158302</v>
      </c>
      <c r="H11" s="20">
        <f>tabla_mortalidad_hombre_2019!F9</f>
        <v>0.97385768112566495</v>
      </c>
      <c r="I11" s="21">
        <f t="shared" si="0"/>
        <v>2.6142318874335047E-2</v>
      </c>
      <c r="J11" s="22">
        <f>tabla_mortalidad_hombre_2019!D9</f>
        <v>2.5</v>
      </c>
      <c r="K11" s="23">
        <f>tabla_mortalidad_hombre_2019!K9</f>
        <v>42.453089833150699</v>
      </c>
      <c r="L11" s="21">
        <f t="shared" si="9"/>
        <v>0.98523239573495103</v>
      </c>
      <c r="M11" s="24">
        <f t="shared" si="1"/>
        <v>1.4767604265048973E-2</v>
      </c>
      <c r="N11" s="25">
        <f t="shared" si="8"/>
        <v>94743.332376039325</v>
      </c>
      <c r="O11" s="26">
        <f t="shared" si="2"/>
        <v>1399.1320392813507</v>
      </c>
      <c r="P11" s="21">
        <f t="shared" si="10"/>
        <v>2.5549450804272089</v>
      </c>
      <c r="Q11" s="25">
        <f t="shared" si="3"/>
        <v>470295.70720441989</v>
      </c>
      <c r="R11" s="25">
        <f t="shared" si="4"/>
        <v>4194362.9296133555</v>
      </c>
      <c r="S11" s="18">
        <f t="shared" si="5"/>
        <v>44.27079800155007</v>
      </c>
      <c r="T11" s="28">
        <f t="shared" si="6"/>
        <v>1.8177081683993705</v>
      </c>
    </row>
    <row r="12" spans="2:23" ht="15" customHeight="1">
      <c r="B12" s="15">
        <v>35</v>
      </c>
      <c r="C12" s="16">
        <v>5</v>
      </c>
      <c r="D12" s="17">
        <f>'Defunciones generales'!D29</f>
        <v>707</v>
      </c>
      <c r="E12" s="17">
        <f>Homicidios!N34</f>
        <v>255.25073746312685</v>
      </c>
      <c r="F12" s="18">
        <f t="shared" si="7"/>
        <v>0.63896642508751511</v>
      </c>
      <c r="G12" s="19">
        <f>tabla_mortalidad_hombre_2019!G10</f>
        <v>89653.612666749497</v>
      </c>
      <c r="H12" s="20">
        <f>tabla_mortalidad_hombre_2019!F10</f>
        <v>0.97337410679445302</v>
      </c>
      <c r="I12" s="21">
        <f t="shared" si="0"/>
        <v>2.662589320554698E-2</v>
      </c>
      <c r="J12" s="22">
        <f>tabla_mortalidad_hombre_2019!D10</f>
        <v>2.5</v>
      </c>
      <c r="K12" s="23">
        <f>tabla_mortalidad_hombre_2019!K10</f>
        <v>38.525593993333402</v>
      </c>
      <c r="L12" s="21">
        <f t="shared" si="9"/>
        <v>0.98290417274212982</v>
      </c>
      <c r="M12" s="24">
        <f t="shared" si="1"/>
        <v>1.7095827257870178E-2</v>
      </c>
      <c r="N12" s="25">
        <f t="shared" si="8"/>
        <v>93344.200336757975</v>
      </c>
      <c r="O12" s="26">
        <f t="shared" si="2"/>
        <v>1595.7963244812415</v>
      </c>
      <c r="P12" s="21">
        <f t="shared" si="10"/>
        <v>2.5918258358998365</v>
      </c>
      <c r="Q12" s="25">
        <f t="shared" si="3"/>
        <v>462878.04620400816</v>
      </c>
      <c r="R12" s="25">
        <f t="shared" si="4"/>
        <v>3724067.2224089354</v>
      </c>
      <c r="S12" s="18">
        <f t="shared" si="5"/>
        <v>39.89607505312182</v>
      </c>
      <c r="T12" s="28">
        <f t="shared" si="6"/>
        <v>1.3704810597884176</v>
      </c>
    </row>
    <row r="13" spans="2:23" ht="15" customHeight="1">
      <c r="B13" s="15">
        <v>40</v>
      </c>
      <c r="C13" s="16">
        <v>5</v>
      </c>
      <c r="D13" s="17">
        <f>'Defunciones generales'!D30</f>
        <v>802</v>
      </c>
      <c r="E13" s="17">
        <f>Homicidios!N35</f>
        <v>228.22418879056048</v>
      </c>
      <c r="F13" s="18">
        <f t="shared" si="7"/>
        <v>0.71543118604668277</v>
      </c>
      <c r="G13" s="19">
        <f>tabla_mortalidad_hombre_2019!G11</f>
        <v>87266.505150393103</v>
      </c>
      <c r="H13" s="20">
        <f>tabla_mortalidad_hombre_2019!F11</f>
        <v>0.96811569906652895</v>
      </c>
      <c r="I13" s="21">
        <f t="shared" si="0"/>
        <v>3.1884300933471055E-2</v>
      </c>
      <c r="J13" s="22">
        <f>tabla_mortalidad_hombre_2019!D11</f>
        <v>2.5</v>
      </c>
      <c r="K13" s="23">
        <f>tabla_mortalidad_hombre_2019!K11</f>
        <v>34.511046155700697</v>
      </c>
      <c r="L13" s="21">
        <f t="shared" si="9"/>
        <v>0.97708405227601969</v>
      </c>
      <c r="M13" s="24">
        <f t="shared" si="1"/>
        <v>2.2915947723980312E-2</v>
      </c>
      <c r="N13" s="25">
        <f t="shared" si="8"/>
        <v>91748.404012276733</v>
      </c>
      <c r="O13" s="26">
        <f t="shared" si="2"/>
        <v>2102.5016301039591</v>
      </c>
      <c r="P13" s="21">
        <f t="shared" si="10"/>
        <v>2.6056622195828929</v>
      </c>
      <c r="Q13" s="25">
        <f t="shared" si="3"/>
        <v>453707.92097503721</v>
      </c>
      <c r="R13" s="25">
        <f t="shared" si="4"/>
        <v>3261189.1762049273</v>
      </c>
      <c r="S13" s="18">
        <f t="shared" si="5"/>
        <v>35.544914500840278</v>
      </c>
      <c r="T13" s="28">
        <f t="shared" si="6"/>
        <v>1.0338683451395809</v>
      </c>
    </row>
    <row r="14" spans="2:23" ht="15" customHeight="1">
      <c r="B14" s="15">
        <v>45</v>
      </c>
      <c r="C14" s="16">
        <v>5</v>
      </c>
      <c r="D14" s="17">
        <f>'Defunciones generales'!D31</f>
        <v>877</v>
      </c>
      <c r="E14" s="17">
        <f>Homicidios!N36</f>
        <v>148.14552605703048</v>
      </c>
      <c r="F14" s="18">
        <f t="shared" si="7"/>
        <v>0.83107693722117393</v>
      </c>
      <c r="G14" s="19">
        <f>tabla_mortalidad_hombre_2019!G12</f>
        <v>84484.073638765694</v>
      </c>
      <c r="H14" s="20">
        <f>tabla_mortalidad_hombre_2019!F12</f>
        <v>0.96437654214608204</v>
      </c>
      <c r="I14" s="21">
        <f t="shared" si="0"/>
        <v>3.5623457853917961E-2</v>
      </c>
      <c r="J14" s="22">
        <f>tabla_mortalidad_hombre_2019!D12</f>
        <v>2.5</v>
      </c>
      <c r="K14" s="23">
        <f>tabla_mortalidad_hombre_2019!K12</f>
        <v>30.5653104650263</v>
      </c>
      <c r="L14" s="21">
        <f t="shared" si="9"/>
        <v>0.9703038264937458</v>
      </c>
      <c r="M14" s="24">
        <f t="shared" si="1"/>
        <v>2.9696173506254198E-2</v>
      </c>
      <c r="N14" s="25">
        <f t="shared" si="8"/>
        <v>89645.902382172775</v>
      </c>
      <c r="O14" s="26">
        <f t="shared" si="2"/>
        <v>2662.1402712657291</v>
      </c>
      <c r="P14" s="21">
        <f t="shared" si="10"/>
        <v>2.6447800308457237</v>
      </c>
      <c r="Q14" s="25">
        <f t="shared" si="3"/>
        <v>441959.58598328906</v>
      </c>
      <c r="R14" s="25">
        <f t="shared" si="4"/>
        <v>2807481.2552298899</v>
      </c>
      <c r="S14" s="18">
        <f t="shared" si="5"/>
        <v>31.317452115783411</v>
      </c>
      <c r="T14" s="28">
        <f t="shared" si="6"/>
        <v>0.75214165075711037</v>
      </c>
    </row>
    <row r="15" spans="2:23" ht="15" customHeight="1">
      <c r="B15" s="15">
        <v>50</v>
      </c>
      <c r="C15" s="16">
        <v>5</v>
      </c>
      <c r="D15" s="17">
        <f>'Defunciones generales'!D32</f>
        <v>1072</v>
      </c>
      <c r="E15" s="17">
        <f>Homicidios!N37</f>
        <v>96.094395280235986</v>
      </c>
      <c r="F15" s="18">
        <f t="shared" si="7"/>
        <v>0.91035970589530224</v>
      </c>
      <c r="G15" s="19">
        <f>tabla_mortalidad_hombre_2019!G13</f>
        <v>81474.458802167806</v>
      </c>
      <c r="H15" s="20">
        <f>tabla_mortalidad_hombre_2019!F13</f>
        <v>0.95019891126927902</v>
      </c>
      <c r="I15" s="21">
        <f t="shared" si="0"/>
        <v>4.9801088730720977E-2</v>
      </c>
      <c r="J15" s="22">
        <f>tabla_mortalidad_hombre_2019!D13</f>
        <v>2.5</v>
      </c>
      <c r="K15" s="23">
        <f>tabla_mortalidad_hombre_2019!K13</f>
        <v>26.602025234428599</v>
      </c>
      <c r="L15" s="21">
        <f t="shared" si="9"/>
        <v>0.95456001974375493</v>
      </c>
      <c r="M15" s="24">
        <f t="shared" si="1"/>
        <v>4.5439980256245072E-2</v>
      </c>
      <c r="N15" s="25">
        <f t="shared" si="8"/>
        <v>86983.762110907046</v>
      </c>
      <c r="O15" s="26">
        <f t="shared" si="2"/>
        <v>3952.5404329335342</v>
      </c>
      <c r="P15" s="21">
        <f t="shared" si="10"/>
        <v>2.6405161077884363</v>
      </c>
      <c r="Q15" s="25">
        <f t="shared" si="3"/>
        <v>425592.85506971367</v>
      </c>
      <c r="R15" s="25">
        <f t="shared" si="4"/>
        <v>2365521.6692466009</v>
      </c>
      <c r="S15" s="18">
        <f t="shared" si="5"/>
        <v>27.194979980636916</v>
      </c>
      <c r="T15" s="28">
        <f t="shared" si="6"/>
        <v>0.59295474620831712</v>
      </c>
    </row>
    <row r="16" spans="2:23" ht="15" customHeight="1">
      <c r="B16" s="15">
        <v>55</v>
      </c>
      <c r="C16" s="16">
        <v>5</v>
      </c>
      <c r="D16" s="17">
        <f>'Defunciones generales'!D33</f>
        <v>1125</v>
      </c>
      <c r="E16" s="17">
        <f>Homicidios!N38</f>
        <v>44.043264503441492</v>
      </c>
      <c r="F16" s="18">
        <f t="shared" si="7"/>
        <v>0.96085043155249639</v>
      </c>
      <c r="G16" s="19">
        <f>tabla_mortalidad_hombre_2019!G14</f>
        <v>77416.942050073601</v>
      </c>
      <c r="H16" s="20">
        <f>tabla_mortalidad_hombre_2019!F14</f>
        <v>0.93330549872852397</v>
      </c>
      <c r="I16" s="21">
        <f t="shared" si="0"/>
        <v>6.6694501271476025E-2</v>
      </c>
      <c r="J16" s="22">
        <f>tabla_mortalidad_hombre_2019!D14</f>
        <v>2.5</v>
      </c>
      <c r="K16" s="23">
        <f>tabla_mortalidad_hombre_2019!K14</f>
        <v>22.865241896807699</v>
      </c>
      <c r="L16" s="21">
        <f t="shared" si="9"/>
        <v>0.9358308955155612</v>
      </c>
      <c r="M16" s="24">
        <f t="shared" si="1"/>
        <v>6.4169104484438799E-2</v>
      </c>
      <c r="N16" s="25">
        <f t="shared" si="8"/>
        <v>83031.221677973517</v>
      </c>
      <c r="O16" s="26">
        <f t="shared" si="2"/>
        <v>5328.0391393244827</v>
      </c>
      <c r="P16" s="21">
        <f t="shared" si="10"/>
        <v>2.6131103367081234</v>
      </c>
      <c r="Q16" s="25">
        <f t="shared" si="3"/>
        <v>402438.66684259946</v>
      </c>
      <c r="R16" s="25">
        <f t="shared" si="4"/>
        <v>1939928.8141768873</v>
      </c>
      <c r="S16" s="18">
        <f t="shared" si="5"/>
        <v>23.363847658422575</v>
      </c>
      <c r="T16" s="28">
        <f t="shared" si="6"/>
        <v>0.49860576161487558</v>
      </c>
    </row>
    <row r="17" spans="2:28" ht="15" customHeight="1">
      <c r="B17" s="15">
        <v>60</v>
      </c>
      <c r="C17" s="16">
        <v>5</v>
      </c>
      <c r="D17" s="17">
        <f>'Defunciones generales'!D34</f>
        <v>1221</v>
      </c>
      <c r="E17" s="17">
        <f>Homicidios!N39</f>
        <v>29.028515240904621</v>
      </c>
      <c r="F17" s="18">
        <f t="shared" si="7"/>
        <v>0.97622562224332132</v>
      </c>
      <c r="G17" s="19">
        <f>tabla_mortalidad_hombre_2019!G15</f>
        <v>72253.657710081199</v>
      </c>
      <c r="H17" s="20">
        <f>tabla_mortalidad_hombre_2019!F15</f>
        <v>0.90985891349382098</v>
      </c>
      <c r="I17" s="21">
        <f t="shared" si="0"/>
        <v>9.0141086506179025E-2</v>
      </c>
      <c r="J17" s="22">
        <f>tabla_mortalidad_hombre_2019!D15</f>
        <v>2.5</v>
      </c>
      <c r="K17" s="23">
        <f>tabla_mortalidad_hombre_2019!K15</f>
        <v>19.320552782076199</v>
      </c>
      <c r="L17" s="21">
        <f t="shared" si="9"/>
        <v>0.91190462920182991</v>
      </c>
      <c r="M17" s="24">
        <f t="shared" si="1"/>
        <v>8.8095370798170092E-2</v>
      </c>
      <c r="N17" s="25">
        <f t="shared" si="8"/>
        <v>77703.182538649038</v>
      </c>
      <c r="O17" s="26">
        <f t="shared" si="2"/>
        <v>6845.2906779401828</v>
      </c>
      <c r="P17" s="21">
        <f t="shared" si="10"/>
        <v>2.5985159766128008</v>
      </c>
      <c r="Q17" s="25">
        <f t="shared" si="3"/>
        <v>372077.05649473047</v>
      </c>
      <c r="R17" s="25">
        <f t="shared" si="4"/>
        <v>1537490.1473342879</v>
      </c>
      <c r="S17" s="18">
        <f t="shared" si="5"/>
        <v>19.786707533755784</v>
      </c>
      <c r="T17" s="28">
        <f t="shared" si="6"/>
        <v>0.46615475167958564</v>
      </c>
    </row>
    <row r="18" spans="2:28" ht="15" customHeight="1">
      <c r="B18" s="15">
        <v>65</v>
      </c>
      <c r="C18" s="16">
        <v>5</v>
      </c>
      <c r="D18" s="17">
        <f>'Defunciones generales'!D35</f>
        <v>1205</v>
      </c>
      <c r="E18" s="17">
        <f>Homicidios!N40</f>
        <v>16.015732546705998</v>
      </c>
      <c r="F18" s="18">
        <f t="shared" si="7"/>
        <v>0.98670893564588713</v>
      </c>
      <c r="G18" s="19">
        <f>tabla_mortalidad_hombre_2019!G16</f>
        <v>65740.634500048895</v>
      </c>
      <c r="H18" s="20">
        <f>tabla_mortalidad_hombre_2019!F16</f>
        <v>0.87759975542573299</v>
      </c>
      <c r="I18" s="21">
        <f t="shared" si="0"/>
        <v>0.12240024457426701</v>
      </c>
      <c r="J18" s="22">
        <f>tabla_mortalidad_hombre_2019!D16</f>
        <v>2.5</v>
      </c>
      <c r="K18" s="23">
        <f>tabla_mortalidad_hombre_2019!K16</f>
        <v>15.986990161459101</v>
      </c>
      <c r="L18" s="21">
        <f t="shared" si="9"/>
        <v>0.87912401432188858</v>
      </c>
      <c r="M18" s="24">
        <f t="shared" si="1"/>
        <v>0.12087598567811142</v>
      </c>
      <c r="N18" s="25">
        <f t="shared" si="8"/>
        <v>70857.891860708856</v>
      </c>
      <c r="O18" s="26">
        <f t="shared" si="2"/>
        <v>8565.0175217362121</v>
      </c>
      <c r="P18" s="21">
        <f t="shared" si="10"/>
        <v>2.6098860467620288</v>
      </c>
      <c r="Q18" s="25">
        <f t="shared" si="3"/>
        <v>333818.09141511482</v>
      </c>
      <c r="R18" s="25">
        <f t="shared" si="4"/>
        <v>1165413.0908395573</v>
      </c>
      <c r="S18" s="18">
        <f t="shared" si="5"/>
        <v>16.447188312213761</v>
      </c>
      <c r="T18" s="28">
        <f t="shared" si="6"/>
        <v>0.46019815075466042</v>
      </c>
    </row>
    <row r="19" spans="2:28" ht="15" customHeight="1">
      <c r="B19" s="15">
        <v>70</v>
      </c>
      <c r="C19" s="16">
        <v>5</v>
      </c>
      <c r="D19" s="17">
        <f>'Defunciones generales'!D36</f>
        <v>1360</v>
      </c>
      <c r="E19" s="17">
        <f>Homicidios!N41</f>
        <v>8.0078662733529988</v>
      </c>
      <c r="F19" s="18">
        <f t="shared" si="7"/>
        <v>0.99411186303429921</v>
      </c>
      <c r="G19" s="19">
        <f>tabla_mortalidad_hombre_2019!G17</f>
        <v>57693.964758775503</v>
      </c>
      <c r="H19" s="20">
        <f>tabla_mortalidad_hombre_2019!F17</f>
        <v>0.816613828599002</v>
      </c>
      <c r="I19" s="21">
        <f t="shared" si="0"/>
        <v>0.183386171400998</v>
      </c>
      <c r="J19" s="22">
        <f>tabla_mortalidad_hombre_2019!D17</f>
        <v>2.5</v>
      </c>
      <c r="K19" s="23">
        <f>tabla_mortalidad_hombre_2019!K17</f>
        <v>12.868042297273</v>
      </c>
      <c r="L19" s="21">
        <f t="shared" si="9"/>
        <v>0.81758852525441394</v>
      </c>
      <c r="M19" s="24">
        <f t="shared" si="1"/>
        <v>0.18241147474558606</v>
      </c>
      <c r="N19" s="25">
        <f t="shared" si="8"/>
        <v>62292.874338972644</v>
      </c>
      <c r="O19" s="26">
        <f t="shared" si="2"/>
        <v>11362.935074313475</v>
      </c>
      <c r="P19" s="21">
        <f t="shared" si="10"/>
        <v>2.5790350534899709</v>
      </c>
      <c r="Q19" s="25">
        <f>(C19*N20)+(P19*O19)</f>
        <v>283955.10419048101</v>
      </c>
      <c r="R19" s="25">
        <f t="shared" si="4"/>
        <v>831594.99942444253</v>
      </c>
      <c r="S19" s="18">
        <f t="shared" si="5"/>
        <v>13.349761240735797</v>
      </c>
      <c r="T19" s="28">
        <f t="shared" si="6"/>
        <v>0.48171894346279664</v>
      </c>
    </row>
    <row r="20" spans="2:28" ht="15" customHeight="1">
      <c r="B20" s="15">
        <v>75</v>
      </c>
      <c r="C20" s="16">
        <v>5</v>
      </c>
      <c r="D20" s="17">
        <f>'Defunciones generales'!D37</f>
        <v>1336</v>
      </c>
      <c r="E20" s="17">
        <f>Homicidios!N42</f>
        <v>6.0058997050147491</v>
      </c>
      <c r="F20" s="18">
        <f t="shared" si="7"/>
        <v>0.99550456608906079</v>
      </c>
      <c r="G20" s="19">
        <f>tabla_mortalidad_hombre_2019!G18</f>
        <v>47113.689448719502</v>
      </c>
      <c r="H20" s="20">
        <f>tabla_mortalidad_hombre_2019!F18</f>
        <v>0.74620422839381295</v>
      </c>
      <c r="I20" s="21">
        <f t="shared" si="0"/>
        <v>0.25379577160618705</v>
      </c>
      <c r="J20" s="22">
        <f>tabla_mortalidad_hombre_2019!D18</f>
        <v>2.5</v>
      </c>
      <c r="K20" s="23">
        <f>tabla_mortalidad_hombre_2019!K18</f>
        <v>10.1963834485397</v>
      </c>
      <c r="L20" s="21">
        <f t="shared" si="9"/>
        <v>0.74718692819259391</v>
      </c>
      <c r="M20" s="24">
        <f t="shared" si="1"/>
        <v>0.25281307180740609</v>
      </c>
      <c r="N20" s="25">
        <f t="shared" si="8"/>
        <v>50929.939264659173</v>
      </c>
      <c r="O20" s="26">
        <f t="shared" si="2"/>
        <v>12875.75439246311</v>
      </c>
      <c r="P20" s="21">
        <f t="shared" si="10"/>
        <v>2.5541806779533904</v>
      </c>
      <c r="Q20" s="25">
        <f t="shared" si="3"/>
        <v>223157.92744428309</v>
      </c>
      <c r="R20" s="25">
        <f t="shared" si="4"/>
        <v>547639.89523396152</v>
      </c>
      <c r="S20" s="18">
        <f t="shared" si="5"/>
        <v>10.752808723924293</v>
      </c>
      <c r="T20" s="28">
        <f t="shared" si="6"/>
        <v>0.55642527538459241</v>
      </c>
    </row>
    <row r="21" spans="2:28" ht="15" customHeight="1">
      <c r="B21" s="15">
        <v>80</v>
      </c>
      <c r="C21" s="16">
        <v>5</v>
      </c>
      <c r="D21" s="17">
        <f>'Defunciones generales'!D38</f>
        <v>1335</v>
      </c>
      <c r="E21" s="17">
        <f>Homicidios!N43</f>
        <v>2.0019665683382497</v>
      </c>
      <c r="F21" s="18">
        <f t="shared" si="7"/>
        <v>0.9985003995742785</v>
      </c>
      <c r="G21" s="19">
        <f>tabla_mortalidad_hombre_2019!G19</f>
        <v>35156.4342818675</v>
      </c>
      <c r="H21" s="20">
        <f>tabla_mortalidad_hombre_2019!F19</f>
        <v>0.61295651515809302</v>
      </c>
      <c r="I21" s="21">
        <f t="shared" si="0"/>
        <v>0.38704348484190698</v>
      </c>
      <c r="J21" s="22">
        <f>tabla_mortalidad_hombre_2019!D19</f>
        <v>2.5</v>
      </c>
      <c r="K21" s="23">
        <f>tabla_mortalidad_hombre_2019!K19</f>
        <v>7.81404427324944</v>
      </c>
      <c r="L21" s="21">
        <f t="shared" si="9"/>
        <v>0.61340658815797466</v>
      </c>
      <c r="M21" s="24">
        <f t="shared" si="1"/>
        <v>0.38659341184202534</v>
      </c>
      <c r="N21" s="25">
        <f t="shared" si="8"/>
        <v>38054.184872196063</v>
      </c>
      <c r="O21" s="26">
        <f t="shared" si="2"/>
        <v>14711.497164609464</v>
      </c>
      <c r="P21" s="26">
        <f>C21+(F21*(I21/M21)*(J21-C21))</f>
        <v>2.5008428595183441</v>
      </c>
      <c r="Q21" s="25">
        <f>(C21*N22)+(P21*O21)</f>
        <v>153504.58117487092</v>
      </c>
      <c r="R21" s="25">
        <f t="shared" si="4"/>
        <v>324481.96778967849</v>
      </c>
      <c r="S21" s="18">
        <f t="shared" si="5"/>
        <v>8.5268405795431512</v>
      </c>
      <c r="T21" s="28">
        <f t="shared" si="6"/>
        <v>0.71279630629371127</v>
      </c>
    </row>
    <row r="22" spans="2:28" ht="15" customHeight="1">
      <c r="B22" s="32">
        <v>85</v>
      </c>
      <c r="C22" s="33">
        <v>5</v>
      </c>
      <c r="D22" s="17">
        <f>'Defunciones generales'!D39</f>
        <v>1477</v>
      </c>
      <c r="E22" s="17">
        <f>Homicidios!N44</f>
        <v>1.0009832841691249</v>
      </c>
      <c r="F22" s="34">
        <f t="shared" si="7"/>
        <v>0.9993222861989377</v>
      </c>
      <c r="G22" s="19">
        <f>tabla_mortalidad_hombre_2019!G20</f>
        <v>21549.365442798</v>
      </c>
      <c r="H22" s="20">
        <f>tabla_mortalidad_hombre_2019!F20</f>
        <v>0</v>
      </c>
      <c r="I22" s="35">
        <f t="shared" si="0"/>
        <v>1</v>
      </c>
      <c r="J22" s="22">
        <f>tabla_mortalidad_hombre_2019!D20</f>
        <v>0</v>
      </c>
      <c r="K22" s="23">
        <f>tabla_mortalidad_hombre_2019!K20</f>
        <v>6.1695289826209798</v>
      </c>
      <c r="L22" s="35">
        <f t="shared" si="9"/>
        <v>0</v>
      </c>
      <c r="M22" s="37">
        <f t="shared" si="1"/>
        <v>1</v>
      </c>
      <c r="N22" s="38">
        <f t="shared" si="8"/>
        <v>23342.6877075866</v>
      </c>
      <c r="O22" s="39">
        <f t="shared" si="2"/>
        <v>23342.6877075866</v>
      </c>
      <c r="P22" s="35">
        <f>K22/F22</f>
        <v>6.1737129931202146</v>
      </c>
      <c r="Q22" s="36">
        <f>N22/[1]LT!E39</f>
        <v>170977.38661480753</v>
      </c>
      <c r="R22" s="38">
        <f>Q22</f>
        <v>170977.38661480753</v>
      </c>
      <c r="S22" s="34">
        <f t="shared" si="5"/>
        <v>7.3246658121223218</v>
      </c>
      <c r="T22" s="40">
        <f t="shared" si="6"/>
        <v>1.155136829501342</v>
      </c>
    </row>
    <row r="24" spans="2:28" ht="15" customHeight="1">
      <c r="B24" s="62" t="s">
        <v>84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</row>
    <row r="25" spans="2:28">
      <c r="C25" s="41"/>
      <c r="D25" s="41"/>
      <c r="E25" s="41"/>
      <c r="F25" s="41"/>
    </row>
    <row r="26" spans="2:28" ht="33" customHeight="1">
      <c r="B26" s="9" t="s">
        <v>69</v>
      </c>
      <c r="C26" s="10" t="s">
        <v>1</v>
      </c>
      <c r="D26" s="10" t="s">
        <v>70</v>
      </c>
      <c r="E26" s="10" t="s">
        <v>71</v>
      </c>
      <c r="F26" s="11"/>
      <c r="G26" s="12"/>
      <c r="H26" s="12"/>
      <c r="I26" s="12" t="s">
        <v>72</v>
      </c>
      <c r="J26" s="12"/>
      <c r="K26" s="13" t="s">
        <v>73</v>
      </c>
      <c r="L26" s="12"/>
      <c r="M26" s="12" t="s">
        <v>74</v>
      </c>
      <c r="N26" s="12"/>
      <c r="O26" s="12" t="s">
        <v>75</v>
      </c>
      <c r="P26" s="12"/>
      <c r="Q26" s="12" t="s">
        <v>76</v>
      </c>
      <c r="R26" s="12" t="s">
        <v>77</v>
      </c>
      <c r="S26" s="13" t="s">
        <v>78</v>
      </c>
      <c r="T26" s="14" t="s">
        <v>79</v>
      </c>
      <c r="AA26" s="42" t="s">
        <v>85</v>
      </c>
      <c r="AB26" s="42" t="s">
        <v>86</v>
      </c>
    </row>
    <row r="27" spans="2:28">
      <c r="B27" s="15">
        <v>0</v>
      </c>
      <c r="C27" s="16">
        <v>1</v>
      </c>
      <c r="D27" s="43">
        <f>'Defunciones generales'!D78</f>
        <v>374</v>
      </c>
      <c r="E27" s="43">
        <f>Homicidios!N83</f>
        <v>1</v>
      </c>
      <c r="F27" s="18">
        <f t="shared" ref="F27:F45" si="11">(D27-E27)/D27</f>
        <v>0.99732620320855614</v>
      </c>
      <c r="G27" s="44">
        <f>tabla_mortalidad_mujer_2019!G2</f>
        <v>100000</v>
      </c>
      <c r="H27" s="45">
        <f>tabla_mortalidad_mujer_2019!F2</f>
        <v>0.98525343021053502</v>
      </c>
      <c r="I27" s="21">
        <f t="shared" ref="I27:I45" si="12">1-H27</f>
        <v>1.4746569789464981E-2</v>
      </c>
      <c r="J27" s="46">
        <f>tabla_mortalidad_mujer_2019!D2</f>
        <v>9.4848990399999999E-2</v>
      </c>
      <c r="K27" s="47">
        <f>tabla_mortalidad_mujer_2019!K2</f>
        <v>76.707836951904</v>
      </c>
      <c r="L27" s="21">
        <f t="shared" ref="L27:L45" si="13">H27^F27</f>
        <v>0.98529256815547428</v>
      </c>
      <c r="M27" s="24">
        <f t="shared" ref="M27:M45" si="14">1-L27</f>
        <v>1.470743184452572E-2</v>
      </c>
      <c r="N27" s="25">
        <v>100000</v>
      </c>
      <c r="O27" s="26">
        <f t="shared" ref="O27:O45" si="15">N27*M27</f>
        <v>1470.743184452572</v>
      </c>
      <c r="P27" s="26">
        <f>C27+(F27*(I27/M27)*(J27-C27))</f>
        <v>9.4866923400055647E-2</v>
      </c>
      <c r="Q27" s="25">
        <f t="shared" ref="Q27:Q44" si="16">(C27*N28)+(P27*O27)</f>
        <v>98668.781696568039</v>
      </c>
      <c r="R27" s="25">
        <f t="shared" ref="R27:R44" si="17">R28+Q27</f>
        <v>7756669.7257613819</v>
      </c>
      <c r="S27" s="48">
        <f t="shared" ref="S27:S45" si="18">R27/N27</f>
        <v>77.566697257613825</v>
      </c>
      <c r="T27" s="28">
        <f t="shared" ref="T27:T45" si="19">S27-K27</f>
        <v>0.85886030570982541</v>
      </c>
      <c r="Z27" s="49" t="s">
        <v>87</v>
      </c>
      <c r="AA27" s="50">
        <f>S4</f>
        <v>71.089012949901772</v>
      </c>
      <c r="AB27" s="50">
        <f>S27</f>
        <v>77.566697257613825</v>
      </c>
    </row>
    <row r="28" spans="2:28">
      <c r="B28" s="15">
        <v>1</v>
      </c>
      <c r="C28" s="16">
        <v>4</v>
      </c>
      <c r="D28" s="43">
        <f>'Defunciones generales'!D79</f>
        <v>85</v>
      </c>
      <c r="E28" s="43">
        <f>Homicidios!N84</f>
        <v>4</v>
      </c>
      <c r="F28" s="18">
        <f t="shared" si="11"/>
        <v>0.95294117647058818</v>
      </c>
      <c r="G28" s="44">
        <f>tabla_mortalidad_mujer_2019!G3</f>
        <v>98525.343021053501</v>
      </c>
      <c r="H28" s="45">
        <f>tabla_mortalidad_mujer_2019!F3</f>
        <v>0.99717893616016395</v>
      </c>
      <c r="I28" s="21">
        <f t="shared" si="12"/>
        <v>2.8210638398360466E-3</v>
      </c>
      <c r="J28" s="46">
        <f>tabla_mortalidad_mujer_2019!D3</f>
        <v>1.4993118687760001</v>
      </c>
      <c r="K28" s="47">
        <f>tabla_mortalidad_mujer_2019!K3</f>
        <v>76.854525447586198</v>
      </c>
      <c r="L28" s="21">
        <f t="shared" si="13"/>
        <v>0.99731151348518832</v>
      </c>
      <c r="M28" s="24">
        <f t="shared" si="14"/>
        <v>2.6884865148116832E-3</v>
      </c>
      <c r="N28" s="25">
        <f t="shared" ref="N28:N45" si="20">N27*L27</f>
        <v>98529.256815547429</v>
      </c>
      <c r="O28" s="26">
        <f t="shared" si="15"/>
        <v>264.8945782630164</v>
      </c>
      <c r="P28" s="26">
        <f>C28+(F28*(I28/M28)*(J28-C28))</f>
        <v>1.4994780120171938</v>
      </c>
      <c r="Q28" s="25">
        <f t="shared" si="16"/>
        <v>393454.65254474559</v>
      </c>
      <c r="R28" s="25">
        <f t="shared" si="17"/>
        <v>7658000.9440648137</v>
      </c>
      <c r="S28" s="18">
        <f t="shared" si="18"/>
        <v>77.723116884978054</v>
      </c>
      <c r="T28" s="28">
        <f t="shared" si="19"/>
        <v>0.8685914373918564</v>
      </c>
      <c r="U28" s="51"/>
      <c r="V28" s="56" t="s">
        <v>88</v>
      </c>
      <c r="W28" s="57"/>
      <c r="Z28" s="49" t="s">
        <v>89</v>
      </c>
      <c r="AA28" s="50">
        <f>K4</f>
        <v>68.046242037857198</v>
      </c>
      <c r="AB28" s="50">
        <f>K27</f>
        <v>76.707836951904</v>
      </c>
    </row>
    <row r="29" spans="2:28">
      <c r="B29" s="15">
        <v>5</v>
      </c>
      <c r="C29" s="16">
        <v>5</v>
      </c>
      <c r="D29" s="43">
        <f>'Defunciones generales'!D80</f>
        <v>43</v>
      </c>
      <c r="E29" s="43">
        <f>Homicidios!N85</f>
        <v>2</v>
      </c>
      <c r="F29" s="18">
        <f t="shared" si="11"/>
        <v>0.95348837209302328</v>
      </c>
      <c r="G29" s="44">
        <f>tabla_mortalidad_mujer_2019!G4</f>
        <v>98247.396738549302</v>
      </c>
      <c r="H29" s="45">
        <f>tabla_mortalidad_mujer_2019!F4</f>
        <v>0.99863483747085302</v>
      </c>
      <c r="I29" s="21">
        <f t="shared" si="12"/>
        <v>1.3651625291469793E-3</v>
      </c>
      <c r="J29" s="46">
        <f>tabla_mortalidad_mujer_2019!D4</f>
        <v>2.5</v>
      </c>
      <c r="K29" s="47">
        <f>tabla_mortalidad_mujer_2019!K4</f>
        <v>73.067708719375801</v>
      </c>
      <c r="L29" s="21">
        <f t="shared" si="13"/>
        <v>0.99869829205748095</v>
      </c>
      <c r="M29" s="24">
        <f t="shared" si="14"/>
        <v>1.3017079425190481E-3</v>
      </c>
      <c r="N29" s="25">
        <f t="shared" si="20"/>
        <v>98264.362237284411</v>
      </c>
      <c r="O29" s="26">
        <f t="shared" si="15"/>
        <v>127.91150079084194</v>
      </c>
      <c r="P29" s="26">
        <f>C29+(F29*(I29/M29)*(J29-C29))</f>
        <v>2.5000794052163124</v>
      </c>
      <c r="Q29" s="25">
        <f t="shared" si="16"/>
        <v>491002.04259128537</v>
      </c>
      <c r="R29" s="25">
        <f t="shared" si="17"/>
        <v>7264546.2915200684</v>
      </c>
      <c r="S29" s="18">
        <f t="shared" si="18"/>
        <v>73.928595536782353</v>
      </c>
      <c r="T29" s="28">
        <f t="shared" si="19"/>
        <v>0.86088681740655204</v>
      </c>
      <c r="U29" s="51"/>
      <c r="V29" s="58"/>
      <c r="W29" s="59"/>
      <c r="AA29" s="52">
        <f>AA27-AA28</f>
        <v>3.0427709120445741</v>
      </c>
      <c r="AB29" s="52">
        <f>AB27-AB28</f>
        <v>0.85886030570982541</v>
      </c>
    </row>
    <row r="30" spans="2:28">
      <c r="B30" s="15">
        <v>10</v>
      </c>
      <c r="C30" s="16">
        <v>5</v>
      </c>
      <c r="D30" s="43">
        <f>'Defunciones generales'!D81</f>
        <v>51</v>
      </c>
      <c r="E30" s="43">
        <f>Homicidios!N86</f>
        <v>6</v>
      </c>
      <c r="F30" s="18">
        <f t="shared" si="11"/>
        <v>0.88235294117647056</v>
      </c>
      <c r="G30" s="44">
        <f>tabla_mortalidad_mujer_2019!G5</f>
        <v>98113.273073935605</v>
      </c>
      <c r="H30" s="45">
        <f>tabla_mortalidad_mujer_2019!F5</f>
        <v>0.99845073104751603</v>
      </c>
      <c r="I30" s="21">
        <f t="shared" si="12"/>
        <v>1.5492689524839731E-3</v>
      </c>
      <c r="J30" s="46">
        <f>tabla_mortalidad_mujer_2019!D5</f>
        <v>2.5</v>
      </c>
      <c r="K30" s="47">
        <f>tabla_mortalidad_mujer_2019!K5</f>
        <v>68.164176805704003</v>
      </c>
      <c r="L30" s="21">
        <f t="shared" si="13"/>
        <v>0.99863287333150441</v>
      </c>
      <c r="M30" s="24">
        <f t="shared" si="14"/>
        <v>1.3671266684955885E-3</v>
      </c>
      <c r="N30" s="25">
        <f t="shared" si="20"/>
        <v>98136.450736493571</v>
      </c>
      <c r="O30" s="26">
        <f t="shared" si="15"/>
        <v>134.16495895336391</v>
      </c>
      <c r="P30" s="21">
        <f>(((-5/24)*O29)+((2.5)*O30)+((5/24)*O31))/O30</f>
        <v>2.7544347332407098</v>
      </c>
      <c r="Q30" s="25">
        <f t="shared" si="16"/>
        <v>490380.97751062596</v>
      </c>
      <c r="R30" s="25">
        <f t="shared" si="17"/>
        <v>6773544.2489287835</v>
      </c>
      <c r="S30" s="18">
        <f t="shared" si="18"/>
        <v>69.021695792895997</v>
      </c>
      <c r="T30" s="28">
        <f t="shared" si="19"/>
        <v>0.8575189871919946</v>
      </c>
      <c r="U30" s="51"/>
      <c r="V30" s="60"/>
      <c r="W30" s="61"/>
    </row>
    <row r="31" spans="2:28">
      <c r="B31" s="15">
        <v>15</v>
      </c>
      <c r="C31" s="16">
        <v>5</v>
      </c>
      <c r="D31" s="43">
        <f>'Defunciones generales'!D82</f>
        <v>135</v>
      </c>
      <c r="E31" s="43">
        <f>Homicidios!N87</f>
        <v>39</v>
      </c>
      <c r="F31" s="18">
        <f t="shared" si="11"/>
        <v>0.71111111111111114</v>
      </c>
      <c r="G31" s="44">
        <f>tabla_mortalidad_mujer_2019!G6</f>
        <v>97961.269226135599</v>
      </c>
      <c r="H31" s="45">
        <f>tabla_mortalidad_mujer_2019!F6</f>
        <v>0.99581594650205396</v>
      </c>
      <c r="I31" s="21">
        <f t="shared" si="12"/>
        <v>4.1840534979460386E-3</v>
      </c>
      <c r="J31" s="46">
        <f>tabla_mortalidad_mujer_2019!D6</f>
        <v>2.5</v>
      </c>
      <c r="K31" s="47">
        <f>tabla_mortalidad_mujer_2019!K6</f>
        <v>63.266066130086301</v>
      </c>
      <c r="L31" s="21">
        <f t="shared" si="13"/>
        <v>0.99702287164962078</v>
      </c>
      <c r="M31" s="24">
        <f t="shared" si="14"/>
        <v>2.9771283503792212E-3</v>
      </c>
      <c r="N31" s="25">
        <f t="shared" si="20"/>
        <v>98002.285777540208</v>
      </c>
      <c r="O31" s="26">
        <f t="shared" si="15"/>
        <v>291.76538339028127</v>
      </c>
      <c r="P31" s="21">
        <f>(((-5/24)*O30)+((2.5)*O31)+((5/24)*O32))/O31</f>
        <v>2.6536049708649467</v>
      </c>
      <c r="Q31" s="25">
        <f t="shared" si="16"/>
        <v>489326.83204244036</v>
      </c>
      <c r="R31" s="25">
        <f t="shared" si="17"/>
        <v>6283163.271418157</v>
      </c>
      <c r="S31" s="18">
        <f t="shared" si="18"/>
        <v>64.112415558149237</v>
      </c>
      <c r="T31" s="28">
        <f t="shared" si="19"/>
        <v>0.84634942806293623</v>
      </c>
      <c r="U31" s="42"/>
      <c r="V31" s="29" t="s">
        <v>81</v>
      </c>
      <c r="W31" s="29" t="s">
        <v>82</v>
      </c>
    </row>
    <row r="32" spans="2:28">
      <c r="B32" s="15">
        <v>20</v>
      </c>
      <c r="C32" s="16">
        <v>5</v>
      </c>
      <c r="D32" s="43">
        <f>'Defunciones generales'!D83</f>
        <v>178</v>
      </c>
      <c r="E32" s="43">
        <f>Homicidios!N88</f>
        <v>66</v>
      </c>
      <c r="F32" s="18">
        <f t="shared" si="11"/>
        <v>0.6292134831460674</v>
      </c>
      <c r="G32" s="44">
        <f>tabla_mortalidad_mujer_2019!G7</f>
        <v>97551.394034966695</v>
      </c>
      <c r="H32" s="45">
        <f>tabla_mortalidad_mujer_2019!F7</f>
        <v>0.99432478486040599</v>
      </c>
      <c r="I32" s="21">
        <f t="shared" si="12"/>
        <v>5.6752151395940142E-3</v>
      </c>
      <c r="J32" s="46">
        <f>tabla_mortalidad_mujer_2019!D7</f>
        <v>2.5</v>
      </c>
      <c r="K32" s="47">
        <f>tabla_mortalidad_mujer_2019!K7</f>
        <v>58.521382860493297</v>
      </c>
      <c r="L32" s="21">
        <f t="shared" si="13"/>
        <v>0.99642531120521405</v>
      </c>
      <c r="M32" s="24">
        <f t="shared" si="14"/>
        <v>3.5746887947859518E-3</v>
      </c>
      <c r="N32" s="25">
        <f t="shared" si="20"/>
        <v>97710.52039414992</v>
      </c>
      <c r="O32" s="26">
        <f t="shared" si="15"/>
        <v>349.28470238567195</v>
      </c>
      <c r="P32" s="21">
        <f>(((-5/24)*O31)+((2.5)*O32)+((5/24)*O33))/O32</f>
        <v>2.5665206698735687</v>
      </c>
      <c r="Q32" s="25">
        <f t="shared" si="16"/>
        <v>487702.6248671647</v>
      </c>
      <c r="R32" s="25">
        <f t="shared" si="17"/>
        <v>5793836.4393757163</v>
      </c>
      <c r="S32" s="18">
        <f t="shared" si="18"/>
        <v>59.295932679554149</v>
      </c>
      <c r="T32" s="28">
        <f t="shared" si="19"/>
        <v>0.77454981906085152</v>
      </c>
      <c r="U32" s="53"/>
      <c r="V32" s="30">
        <f>([2]TV!M29-[2]TV!M47)/[2]TV!J29</f>
        <v>73.32569985958979</v>
      </c>
      <c r="W32" s="30">
        <f>(R27-R45)/N27</f>
        <v>74.695009014238821</v>
      </c>
    </row>
    <row r="33" spans="2:23">
      <c r="B33" s="15">
        <v>25</v>
      </c>
      <c r="C33" s="16">
        <v>5</v>
      </c>
      <c r="D33" s="43">
        <f>'Defunciones generales'!D84</f>
        <v>158</v>
      </c>
      <c r="E33" s="43">
        <f>Homicidios!N89</f>
        <v>34</v>
      </c>
      <c r="F33" s="18">
        <f t="shared" si="11"/>
        <v>0.78481012658227844</v>
      </c>
      <c r="G33" s="44">
        <f>tabla_mortalidad_mujer_2019!G8</f>
        <v>96997.768886651</v>
      </c>
      <c r="H33" s="45">
        <f>tabla_mortalidad_mujer_2019!F8</f>
        <v>0.99472500955398502</v>
      </c>
      <c r="I33" s="21">
        <f t="shared" si="12"/>
        <v>5.2749904460149821E-3</v>
      </c>
      <c r="J33" s="46">
        <f>tabla_mortalidad_mujer_2019!D8</f>
        <v>2.5</v>
      </c>
      <c r="K33" s="47">
        <f>tabla_mortalidad_mujer_2019!K8</f>
        <v>53.841130899556198</v>
      </c>
      <c r="L33" s="21">
        <f t="shared" si="13"/>
        <v>0.99585777941348619</v>
      </c>
      <c r="M33" s="24">
        <f t="shared" si="14"/>
        <v>4.1422205865138118E-3</v>
      </c>
      <c r="N33" s="25">
        <f t="shared" si="20"/>
        <v>97361.235691764246</v>
      </c>
      <c r="O33" s="26">
        <f t="shared" si="15"/>
        <v>403.29171481084916</v>
      </c>
      <c r="P33" s="21">
        <f>(((-5/24)*O32)+((2.5)*O33)+((5/24)*O34))/O33</f>
        <v>2.5665287243930917</v>
      </c>
      <c r="Q33" s="25">
        <f t="shared" si="16"/>
        <v>485824.77965513873</v>
      </c>
      <c r="R33" s="25">
        <f t="shared" si="17"/>
        <v>5306133.8145085517</v>
      </c>
      <c r="S33" s="18">
        <f t="shared" si="18"/>
        <v>54.499450184745299</v>
      </c>
      <c r="T33" s="28">
        <f t="shared" si="19"/>
        <v>0.65831928518910132</v>
      </c>
      <c r="V33" s="31" t="s">
        <v>83</v>
      </c>
      <c r="W33" s="30">
        <f>W32-V32</f>
        <v>1.3693091546490308</v>
      </c>
    </row>
    <row r="34" spans="2:23">
      <c r="B34" s="15">
        <v>30</v>
      </c>
      <c r="C34" s="16">
        <v>5</v>
      </c>
      <c r="D34" s="43">
        <f>'Defunciones generales'!D85</f>
        <v>171</v>
      </c>
      <c r="E34" s="43">
        <f>Homicidios!N90</f>
        <v>33</v>
      </c>
      <c r="F34" s="18">
        <f t="shared" si="11"/>
        <v>0.80701754385964908</v>
      </c>
      <c r="G34" s="44">
        <f>tabla_mortalidad_mujer_2019!G9</f>
        <v>96486.106582489097</v>
      </c>
      <c r="H34" s="45">
        <f>tabla_mortalidad_mujer_2019!F9</f>
        <v>0.99389381981045999</v>
      </c>
      <c r="I34" s="21">
        <f t="shared" si="12"/>
        <v>6.1061801895400114E-3</v>
      </c>
      <c r="J34" s="46">
        <f>tabla_mortalidad_mujer_2019!D9</f>
        <v>2.5</v>
      </c>
      <c r="K34" s="47">
        <f>tabla_mortalidad_mujer_2019!K9</f>
        <v>49.113391044200803</v>
      </c>
      <c r="L34" s="21">
        <f t="shared" si="13"/>
        <v>0.99506929496613794</v>
      </c>
      <c r="M34" s="24">
        <f t="shared" si="14"/>
        <v>4.9307050338620595E-3</v>
      </c>
      <c r="N34" s="25">
        <f t="shared" si="20"/>
        <v>96957.943976953393</v>
      </c>
      <c r="O34" s="26">
        <f t="shared" si="15"/>
        <v>478.07102244007967</v>
      </c>
      <c r="P34" s="21">
        <f t="shared" ref="P34:P42" si="21">(((-5/24)*O33)+((2.5)*O34)+((5/24)*O35))/O34</f>
        <v>2.6067612326077851</v>
      </c>
      <c r="Q34" s="25">
        <f t="shared" si="16"/>
        <v>483645.58178029652</v>
      </c>
      <c r="R34" s="25">
        <f t="shared" si="17"/>
        <v>4820309.0348534128</v>
      </c>
      <c r="S34" s="18">
        <f t="shared" si="18"/>
        <v>49.715462572093998</v>
      </c>
      <c r="T34" s="28">
        <f t="shared" si="19"/>
        <v>0.60207152789319451</v>
      </c>
    </row>
    <row r="35" spans="2:23">
      <c r="B35" s="15">
        <v>35</v>
      </c>
      <c r="C35" s="16">
        <v>5</v>
      </c>
      <c r="D35" s="43">
        <f>'Defunciones generales'!D86</f>
        <v>205</v>
      </c>
      <c r="E35" s="43">
        <f>Homicidios!N91</f>
        <v>25</v>
      </c>
      <c r="F35" s="18">
        <f t="shared" si="11"/>
        <v>0.87804878048780488</v>
      </c>
      <c r="G35" s="44">
        <f>tabla_mortalidad_mujer_2019!G10</f>
        <v>95896.945029909301</v>
      </c>
      <c r="H35" s="45">
        <f>tabla_mortalidad_mujer_2019!F10</f>
        <v>0.992350995941646</v>
      </c>
      <c r="I35" s="21">
        <f t="shared" si="12"/>
        <v>7.6490040583540031E-3</v>
      </c>
      <c r="J35" s="46">
        <f>tabla_mortalidad_mujer_2019!D10</f>
        <v>2.5</v>
      </c>
      <c r="K35" s="47">
        <f>tabla_mortalidad_mujer_2019!K10</f>
        <v>44.3997694875397</v>
      </c>
      <c r="L35" s="21">
        <f t="shared" si="13"/>
        <v>0.9932806598642665</v>
      </c>
      <c r="M35" s="24">
        <f t="shared" si="14"/>
        <v>6.7193401357334981E-3</v>
      </c>
      <c r="N35" s="25">
        <f t="shared" si="20"/>
        <v>96479.87295451331</v>
      </c>
      <c r="O35" s="26">
        <f t="shared" si="15"/>
        <v>648.28108263373008</v>
      </c>
      <c r="P35" s="21">
        <f t="shared" si="21"/>
        <v>2.6971513571531487</v>
      </c>
      <c r="Q35" s="25">
        <f t="shared" si="16"/>
        <v>480906.47156124015</v>
      </c>
      <c r="R35" s="25">
        <f t="shared" si="17"/>
        <v>4336663.453073116</v>
      </c>
      <c r="S35" s="18">
        <f t="shared" si="18"/>
        <v>44.948892657826079</v>
      </c>
      <c r="T35" s="28">
        <f t="shared" si="19"/>
        <v>0.54912317028637858</v>
      </c>
    </row>
    <row r="36" spans="2:23">
      <c r="B36" s="15">
        <v>40</v>
      </c>
      <c r="C36" s="16">
        <v>5</v>
      </c>
      <c r="D36" s="43">
        <f>'Defunciones generales'!D87</f>
        <v>304</v>
      </c>
      <c r="E36" s="43">
        <f>Homicidios!N92</f>
        <v>13</v>
      </c>
      <c r="F36" s="18">
        <f t="shared" si="11"/>
        <v>0.95723684210526316</v>
      </c>
      <c r="G36" s="44">
        <f>tabla_mortalidad_mujer_2019!G11</f>
        <v>95163.428908191694</v>
      </c>
      <c r="H36" s="45">
        <f>tabla_mortalidad_mujer_2019!F11</f>
        <v>0.98810382785758499</v>
      </c>
      <c r="I36" s="21">
        <f t="shared" si="12"/>
        <v>1.1896172142415007E-2</v>
      </c>
      <c r="J36" s="46">
        <f>tabla_mortalidad_mujer_2019!D11</f>
        <v>2.5</v>
      </c>
      <c r="K36" s="47">
        <f>tabla_mortalidad_mujer_2019!K11</f>
        <v>39.722731330844098</v>
      </c>
      <c r="L36" s="21">
        <f t="shared" si="13"/>
        <v>0.98860963719419803</v>
      </c>
      <c r="M36" s="24">
        <f t="shared" si="14"/>
        <v>1.1390362805801968E-2</v>
      </c>
      <c r="N36" s="25">
        <f t="shared" si="20"/>
        <v>95831.591871879573</v>
      </c>
      <c r="O36" s="26">
        <f t="shared" si="15"/>
        <v>1091.5565996782514</v>
      </c>
      <c r="P36" s="21">
        <f t="shared" si="21"/>
        <v>2.6255454952341313</v>
      </c>
      <c r="Q36" s="25">
        <f t="shared" si="16"/>
        <v>476566.1078740849</v>
      </c>
      <c r="R36" s="25">
        <f t="shared" si="17"/>
        <v>3855756.9815118755</v>
      </c>
      <c r="S36" s="18">
        <f t="shared" si="18"/>
        <v>40.234717030128905</v>
      </c>
      <c r="T36" s="28">
        <f t="shared" si="19"/>
        <v>0.51198569928480708</v>
      </c>
    </row>
    <row r="37" spans="2:23">
      <c r="B37" s="15">
        <v>45</v>
      </c>
      <c r="C37" s="16">
        <v>5</v>
      </c>
      <c r="D37" s="43">
        <f>'Defunciones generales'!D88</f>
        <v>360</v>
      </c>
      <c r="E37" s="43">
        <f>Homicidios!N93</f>
        <v>18</v>
      </c>
      <c r="F37" s="18">
        <f t="shared" si="11"/>
        <v>0.95</v>
      </c>
      <c r="G37" s="44">
        <f>tabla_mortalidad_mujer_2019!G12</f>
        <v>94031.348376237394</v>
      </c>
      <c r="H37" s="45">
        <f>tabla_mortalidad_mujer_2019!F12</f>
        <v>0.98549385285394897</v>
      </c>
      <c r="I37" s="21">
        <f t="shared" si="12"/>
        <v>1.4506147146051029E-2</v>
      </c>
      <c r="J37" s="46">
        <f>tabla_mortalidad_mujer_2019!D12</f>
        <v>2.5</v>
      </c>
      <c r="K37" s="47">
        <f>tabla_mortalidad_mujer_2019!K12</f>
        <v>35.170870490959203</v>
      </c>
      <c r="L37" s="21">
        <f t="shared" si="13"/>
        <v>0.98621413697474236</v>
      </c>
      <c r="M37" s="24">
        <f t="shared" si="14"/>
        <v>1.3785863025257639E-2</v>
      </c>
      <c r="N37" s="25">
        <f t="shared" si="20"/>
        <v>94740.035272201319</v>
      </c>
      <c r="O37" s="26">
        <f t="shared" si="15"/>
        <v>1306.0731492706448</v>
      </c>
      <c r="P37" s="21">
        <f t="shared" si="21"/>
        <v>2.6715100134104683</v>
      </c>
      <c r="Q37" s="25">
        <f t="shared" si="16"/>
        <v>470658.99811117648</v>
      </c>
      <c r="R37" s="25">
        <f t="shared" si="17"/>
        <v>3379190.8736377908</v>
      </c>
      <c r="S37" s="18">
        <f t="shared" si="18"/>
        <v>35.668034785177191</v>
      </c>
      <c r="T37" s="28">
        <f t="shared" si="19"/>
        <v>0.49716429421798836</v>
      </c>
    </row>
    <row r="38" spans="2:23">
      <c r="B38" s="15">
        <v>50</v>
      </c>
      <c r="C38" s="16">
        <v>5</v>
      </c>
      <c r="D38" s="43">
        <f>'Defunciones generales'!D89</f>
        <v>518</v>
      </c>
      <c r="E38" s="43">
        <f>Homicidios!N94</f>
        <v>3</v>
      </c>
      <c r="F38" s="18">
        <f t="shared" si="11"/>
        <v>0.99420849420849422</v>
      </c>
      <c r="G38" s="44">
        <f>tabla_mortalidad_mujer_2019!G13</f>
        <v>92667.315800349999</v>
      </c>
      <c r="H38" s="45">
        <f>tabla_mortalidad_mujer_2019!F13</f>
        <v>0.97667601370864399</v>
      </c>
      <c r="I38" s="21">
        <f t="shared" si="12"/>
        <v>2.3323986291356014E-2</v>
      </c>
      <c r="J38" s="46">
        <f>tabla_mortalidad_mujer_2019!D13</f>
        <v>2.5</v>
      </c>
      <c r="K38" s="47">
        <f>tabla_mortalidad_mujer_2019!K13</f>
        <v>30.651775017516002</v>
      </c>
      <c r="L38" s="21">
        <f t="shared" si="13"/>
        <v>0.97680951612765343</v>
      </c>
      <c r="M38" s="24">
        <f t="shared" si="14"/>
        <v>2.3190483872346568E-2</v>
      </c>
      <c r="N38" s="25">
        <f t="shared" si="20"/>
        <v>93433.962122930679</v>
      </c>
      <c r="O38" s="26">
        <f t="shared" si="15"/>
        <v>2166.7787917412638</v>
      </c>
      <c r="P38" s="21">
        <f t="shared" si="21"/>
        <v>2.6923466381997292</v>
      </c>
      <c r="Q38" s="25">
        <f t="shared" si="16"/>
        <v>462169.6362516142</v>
      </c>
      <c r="R38" s="25">
        <f t="shared" si="17"/>
        <v>2908531.8755266145</v>
      </c>
      <c r="S38" s="18">
        <f t="shared" si="18"/>
        <v>31.129279005634707</v>
      </c>
      <c r="T38" s="28">
        <f t="shared" si="19"/>
        <v>0.47750398811870554</v>
      </c>
    </row>
    <row r="39" spans="2:23">
      <c r="B39" s="15">
        <v>55</v>
      </c>
      <c r="C39" s="16">
        <v>5</v>
      </c>
      <c r="D39" s="43">
        <f>'Defunciones generales'!D90</f>
        <v>647</v>
      </c>
      <c r="E39" s="43">
        <f>Homicidios!N95</f>
        <v>5</v>
      </c>
      <c r="F39" s="18">
        <f t="shared" si="11"/>
        <v>0.99227202472952092</v>
      </c>
      <c r="G39" s="44">
        <f>tabla_mortalidad_mujer_2019!G14</f>
        <v>90505.944596965899</v>
      </c>
      <c r="H39" s="45">
        <f>tabla_mortalidad_mujer_2019!F14</f>
        <v>0.96349336187932</v>
      </c>
      <c r="I39" s="21">
        <f t="shared" si="12"/>
        <v>3.6506638120680002E-2</v>
      </c>
      <c r="J39" s="46">
        <f>tabla_mortalidad_mujer_2019!D14</f>
        <v>2.5</v>
      </c>
      <c r="K39" s="47">
        <f>tabla_mortalidad_mujer_2019!K14</f>
        <v>26.324067164932099</v>
      </c>
      <c r="L39" s="21">
        <f t="shared" si="13"/>
        <v>0.96377031056630191</v>
      </c>
      <c r="M39" s="24">
        <f t="shared" si="14"/>
        <v>3.6229689433698087E-2</v>
      </c>
      <c r="N39" s="25">
        <f t="shared" si="20"/>
        <v>91267.183331189415</v>
      </c>
      <c r="O39" s="26">
        <f t="shared" si="15"/>
        <v>3306.5817075773793</v>
      </c>
      <c r="P39" s="21">
        <f t="shared" si="21"/>
        <v>2.670605702616057</v>
      </c>
      <c r="Q39" s="25">
        <f t="shared" si="16"/>
        <v>448633.58408248227</v>
      </c>
      <c r="R39" s="25">
        <f t="shared" si="17"/>
        <v>2446362.2392750001</v>
      </c>
      <c r="S39" s="18">
        <f t="shared" si="18"/>
        <v>26.804401647826317</v>
      </c>
      <c r="T39" s="28">
        <f t="shared" si="19"/>
        <v>0.48033448289421798</v>
      </c>
    </row>
    <row r="40" spans="2:23">
      <c r="B40" s="15">
        <v>60</v>
      </c>
      <c r="C40" s="16">
        <v>5</v>
      </c>
      <c r="D40" s="43">
        <f>'Defunciones generales'!D91</f>
        <v>827</v>
      </c>
      <c r="E40" s="43">
        <f>Homicidios!N96</f>
        <v>4</v>
      </c>
      <c r="F40" s="18">
        <f t="shared" si="11"/>
        <v>0.9951632406287787</v>
      </c>
      <c r="G40" s="44">
        <f>tabla_mortalidad_mujer_2019!G15</f>
        <v>87201.876829794099</v>
      </c>
      <c r="H40" s="45">
        <f>tabla_mortalidad_mujer_2019!F15</f>
        <v>0.94432072556138702</v>
      </c>
      <c r="I40" s="21">
        <f t="shared" si="12"/>
        <v>5.567927443861298E-2</v>
      </c>
      <c r="J40" s="46">
        <f>tabla_mortalidad_mujer_2019!D15</f>
        <v>2.5</v>
      </c>
      <c r="K40" s="47">
        <f>tabla_mortalidad_mujer_2019!K15</f>
        <v>22.226757970042001</v>
      </c>
      <c r="L40" s="21">
        <f t="shared" si="13"/>
        <v>0.94458242849568896</v>
      </c>
      <c r="M40" s="24">
        <f t="shared" si="14"/>
        <v>5.5417571504311036E-2</v>
      </c>
      <c r="N40" s="25">
        <f t="shared" si="20"/>
        <v>87960.601623612034</v>
      </c>
      <c r="O40" s="26">
        <f t="shared" si="15"/>
        <v>4874.5629300387372</v>
      </c>
      <c r="P40" s="21">
        <f t="shared" si="21"/>
        <v>2.6512332046018301</v>
      </c>
      <c r="Q40" s="25">
        <f t="shared" si="16"/>
        <v>428353.79656590638</v>
      </c>
      <c r="R40" s="25">
        <f t="shared" si="17"/>
        <v>1997728.6551925179</v>
      </c>
      <c r="S40" s="18">
        <f t="shared" si="18"/>
        <v>22.711630188034665</v>
      </c>
      <c r="T40" s="28">
        <f t="shared" si="19"/>
        <v>0.48487221799266322</v>
      </c>
    </row>
    <row r="41" spans="2:23">
      <c r="B41" s="15">
        <v>65</v>
      </c>
      <c r="C41" s="16">
        <v>5</v>
      </c>
      <c r="D41" s="43">
        <f>'Defunciones generales'!D92</f>
        <v>902</v>
      </c>
      <c r="E41" s="43">
        <f>Homicidios!N97</f>
        <v>2</v>
      </c>
      <c r="F41" s="18">
        <f t="shared" si="11"/>
        <v>0.99778270509977829</v>
      </c>
      <c r="G41" s="44">
        <f>tabla_mortalidad_mujer_2019!G16</f>
        <v>82346.539598225907</v>
      </c>
      <c r="H41" s="45">
        <f>tabla_mortalidad_mujer_2019!F16</f>
        <v>0.91743875433974797</v>
      </c>
      <c r="I41" s="21">
        <f t="shared" si="12"/>
        <v>8.2561245660252025E-2</v>
      </c>
      <c r="J41" s="46">
        <f>tabla_mortalidad_mujer_2019!D16</f>
        <v>2.5</v>
      </c>
      <c r="K41" s="47">
        <f>tabla_mortalidad_mujer_2019!K16</f>
        <v>18.389891999685499</v>
      </c>
      <c r="L41" s="21">
        <f t="shared" si="13"/>
        <v>0.91761405977062827</v>
      </c>
      <c r="M41" s="24">
        <f t="shared" si="14"/>
        <v>8.2385940229371735E-2</v>
      </c>
      <c r="N41" s="25">
        <f t="shared" si="20"/>
        <v>83086.038693573297</v>
      </c>
      <c r="O41" s="26">
        <f t="shared" si="15"/>
        <v>6845.1214177039965</v>
      </c>
      <c r="P41" s="21">
        <f t="shared" si="21"/>
        <v>2.6487408015062548</v>
      </c>
      <c r="Q41" s="25">
        <f t="shared" si="16"/>
        <v>399335.53876968339</v>
      </c>
      <c r="R41" s="25">
        <f t="shared" si="17"/>
        <v>1569374.8586266115</v>
      </c>
      <c r="S41" s="18">
        <f t="shared" si="18"/>
        <v>18.888550751764299</v>
      </c>
      <c r="T41" s="28">
        <f t="shared" si="19"/>
        <v>0.49865875207879995</v>
      </c>
    </row>
    <row r="42" spans="2:23">
      <c r="B42" s="15">
        <v>70</v>
      </c>
      <c r="C42" s="16">
        <v>5</v>
      </c>
      <c r="D42" s="43">
        <f>'Defunciones generales'!D93</f>
        <v>1068</v>
      </c>
      <c r="E42" s="43">
        <f>Homicidios!N98</f>
        <v>1</v>
      </c>
      <c r="F42" s="18">
        <f t="shared" si="11"/>
        <v>0.99906367041198507</v>
      </c>
      <c r="G42" s="44">
        <f>tabla_mortalidad_mujer_2019!G17</f>
        <v>75547.906713185104</v>
      </c>
      <c r="H42" s="45">
        <f>tabla_mortalidad_mujer_2019!F17</f>
        <v>0.87185079237737095</v>
      </c>
      <c r="I42" s="21">
        <f t="shared" si="12"/>
        <v>0.12814920762262905</v>
      </c>
      <c r="J42" s="46">
        <f>tabla_mortalidad_mujer_2019!D17</f>
        <v>2.5</v>
      </c>
      <c r="K42" s="47">
        <f>tabla_mortalidad_mujer_2019!K17</f>
        <v>14.8198395255506</v>
      </c>
      <c r="L42" s="21">
        <f t="shared" si="13"/>
        <v>0.87196274992486744</v>
      </c>
      <c r="M42" s="24">
        <f t="shared" si="14"/>
        <v>0.12803725007513256</v>
      </c>
      <c r="N42" s="25">
        <f t="shared" si="20"/>
        <v>76240.917275869302</v>
      </c>
      <c r="O42" s="26">
        <f t="shared" si="15"/>
        <v>9761.6773912079716</v>
      </c>
      <c r="P42" s="21">
        <f t="shared" si="21"/>
        <v>2.6412069358642243</v>
      </c>
      <c r="Q42" s="25">
        <f t="shared" si="16"/>
        <v>358178.80945463415</v>
      </c>
      <c r="R42" s="25">
        <f t="shared" si="17"/>
        <v>1170039.3198569282</v>
      </c>
      <c r="S42" s="18">
        <f t="shared" si="18"/>
        <v>15.346606017648906</v>
      </c>
      <c r="T42" s="28">
        <f t="shared" si="19"/>
        <v>0.52676649209830551</v>
      </c>
    </row>
    <row r="43" spans="2:23">
      <c r="B43" s="15">
        <v>75</v>
      </c>
      <c r="C43" s="16">
        <v>5</v>
      </c>
      <c r="D43" s="43">
        <f>'Defunciones generales'!D94</f>
        <v>1178</v>
      </c>
      <c r="E43" s="43">
        <f>Homicidios!N99</f>
        <v>1</v>
      </c>
      <c r="F43" s="18">
        <f t="shared" si="11"/>
        <v>0.99915110356536507</v>
      </c>
      <c r="G43" s="44">
        <f>tabla_mortalidad_mujer_2019!G18</f>
        <v>65866.502330342104</v>
      </c>
      <c r="H43" s="45">
        <f>tabla_mortalidad_mujer_2019!F18</f>
        <v>0.79735460406648295</v>
      </c>
      <c r="I43" s="21">
        <f t="shared" si="12"/>
        <v>0.20264539593351705</v>
      </c>
      <c r="J43" s="46">
        <f>tabla_mortalidad_mujer_2019!D18</f>
        <v>2.5</v>
      </c>
      <c r="K43" s="47">
        <f>tabla_mortalidad_mujer_2019!K18</f>
        <v>11.6306742314895</v>
      </c>
      <c r="L43" s="21">
        <f t="shared" si="13"/>
        <v>0.79750790025675078</v>
      </c>
      <c r="M43" s="24">
        <f t="shared" si="14"/>
        <v>0.20249209974324922</v>
      </c>
      <c r="N43" s="25">
        <f t="shared" si="20"/>
        <v>66479.239884661336</v>
      </c>
      <c r="O43" s="26">
        <f t="shared" si="15"/>
        <v>13461.520873580235</v>
      </c>
      <c r="P43" s="21">
        <f>(((-5/24)*O42)+((2.5)*O43)+((5/24)*O44))/O43</f>
        <v>2.5995489188449836</v>
      </c>
      <c r="Q43" s="25">
        <f t="shared" si="16"/>
        <v>300082.4770883302</v>
      </c>
      <c r="R43" s="25">
        <f t="shared" si="17"/>
        <v>811860.51040229411</v>
      </c>
      <c r="S43" s="18">
        <f t="shared" si="18"/>
        <v>12.212241171993508</v>
      </c>
      <c r="T43" s="28">
        <f t="shared" si="19"/>
        <v>0.58156694050400759</v>
      </c>
    </row>
    <row r="44" spans="2:23">
      <c r="B44" s="15">
        <v>80</v>
      </c>
      <c r="C44" s="16">
        <v>5</v>
      </c>
      <c r="D44" s="43">
        <f>'Defunciones generales'!D95</f>
        <v>1203</v>
      </c>
      <c r="E44" s="43">
        <f>Homicidios!N100</f>
        <v>1</v>
      </c>
      <c r="F44" s="18">
        <f t="shared" si="11"/>
        <v>0.99916874480465501</v>
      </c>
      <c r="G44" s="44">
        <f>tabla_mortalidad_mujer_2019!G19</f>
        <v>52518.958886854103</v>
      </c>
      <c r="H44" s="45">
        <f>tabla_mortalidad_mujer_2019!F19</f>
        <v>0.69434322314483499</v>
      </c>
      <c r="I44" s="21">
        <f t="shared" si="12"/>
        <v>0.30565677685516501</v>
      </c>
      <c r="J44" s="46">
        <f>tabla_mortalidad_mujer_2019!D19</f>
        <v>2.5</v>
      </c>
      <c r="K44" s="47">
        <f>tabla_mortalidad_mujer_2019!K19</f>
        <v>8.9512090165697291</v>
      </c>
      <c r="L44" s="21">
        <f t="shared" si="13"/>
        <v>0.69455380260891741</v>
      </c>
      <c r="M44" s="24">
        <f t="shared" si="14"/>
        <v>0.30544619739108259</v>
      </c>
      <c r="N44" s="25">
        <f t="shared" si="20"/>
        <v>53017.719011081099</v>
      </c>
      <c r="O44" s="26">
        <f t="shared" si="15"/>
        <v>16194.060666283629</v>
      </c>
      <c r="P44" s="26">
        <f>C44+(F44*(I44/M44)*(J44-C44))</f>
        <v>2.5003560309478594</v>
      </c>
      <c r="Q44" s="25">
        <f t="shared" si="16"/>
        <v>224609.20897646513</v>
      </c>
      <c r="R44" s="25">
        <f t="shared" si="17"/>
        <v>511778.03331396391</v>
      </c>
      <c r="S44" s="18">
        <f t="shared" si="18"/>
        <v>9.6529621202111411</v>
      </c>
      <c r="T44" s="28">
        <f t="shared" si="19"/>
        <v>0.70175310364141197</v>
      </c>
    </row>
    <row r="45" spans="2:23">
      <c r="B45" s="32">
        <v>85</v>
      </c>
      <c r="C45" s="33">
        <v>5</v>
      </c>
      <c r="D45" s="43">
        <f>'Defunciones generales'!D96</f>
        <v>1866</v>
      </c>
      <c r="E45" s="43">
        <f>Homicidios!N101</f>
        <v>0</v>
      </c>
      <c r="F45" s="34">
        <f t="shared" si="11"/>
        <v>1</v>
      </c>
      <c r="G45" s="44">
        <f>tabla_mortalidad_mujer_2019!G20</f>
        <v>36466.1831897093</v>
      </c>
      <c r="H45" s="45">
        <f>tabla_mortalidad_mujer_2019!F20</f>
        <v>0</v>
      </c>
      <c r="I45" s="35">
        <f t="shared" si="12"/>
        <v>1</v>
      </c>
      <c r="J45" s="46">
        <f>tabla_mortalidad_mujer_2019!D20</f>
        <v>0</v>
      </c>
      <c r="K45" s="47">
        <f>tabla_mortalidad_mujer_2019!K20</f>
        <v>6.7910952415590202</v>
      </c>
      <c r="L45" s="35">
        <f t="shared" si="13"/>
        <v>0</v>
      </c>
      <c r="M45" s="37">
        <f t="shared" si="14"/>
        <v>1</v>
      </c>
      <c r="N45" s="38">
        <f t="shared" si="20"/>
        <v>36823.65834479747</v>
      </c>
      <c r="O45" s="39">
        <f t="shared" si="15"/>
        <v>36823.65834479747</v>
      </c>
      <c r="P45" s="35">
        <f>K45/F45</f>
        <v>6.7910952415590202</v>
      </c>
      <c r="Q45" s="54">
        <f>N45/[1]LT!E96</f>
        <v>287168.82433749875</v>
      </c>
      <c r="R45" s="38">
        <f>Q45</f>
        <v>287168.82433749875</v>
      </c>
      <c r="S45" s="34">
        <f t="shared" si="18"/>
        <v>7.7984870935038595</v>
      </c>
      <c r="T45" s="40">
        <f t="shared" si="19"/>
        <v>1.0073918519448393</v>
      </c>
    </row>
  </sheetData>
  <mergeCells count="4">
    <mergeCell ref="B2:T2"/>
    <mergeCell ref="V5:W7"/>
    <mergeCell ref="B24:T24"/>
    <mergeCell ref="V28:W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B2:AB45"/>
  <sheetViews>
    <sheetView showGridLines="0" topLeftCell="J13" zoomScaleNormal="60" workbookViewId="0">
      <selection activeCell="S27" sqref="S27"/>
    </sheetView>
  </sheetViews>
  <sheetFormatPr baseColWidth="10" defaultColWidth="14.42578125" defaultRowHeight="15" customHeight="1"/>
  <cols>
    <col min="1" max="1" width="6.85546875" customWidth="1"/>
    <col min="21" max="21" width="3.28515625" customWidth="1"/>
    <col min="22" max="23" width="16.42578125" hidden="1" customWidth="1"/>
  </cols>
  <sheetData>
    <row r="2" spans="2:23" ht="15" customHeight="1">
      <c r="B2" s="55" t="s">
        <v>68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2:23" ht="33" customHeight="1">
      <c r="B3" s="9" t="s">
        <v>69</v>
      </c>
      <c r="C3" s="10" t="s">
        <v>1</v>
      </c>
      <c r="D3" s="10" t="s">
        <v>70</v>
      </c>
      <c r="E3" s="10" t="s">
        <v>71</v>
      </c>
      <c r="F3" s="11"/>
      <c r="G3" s="12"/>
      <c r="H3" s="12"/>
      <c r="I3" s="12" t="s">
        <v>72</v>
      </c>
      <c r="J3" s="12"/>
      <c r="K3" s="13" t="s">
        <v>73</v>
      </c>
      <c r="L3" s="12"/>
      <c r="M3" s="12" t="s">
        <v>74</v>
      </c>
      <c r="N3" s="12"/>
      <c r="O3" s="12" t="s">
        <v>75</v>
      </c>
      <c r="P3" s="12"/>
      <c r="Q3" s="12" t="s">
        <v>76</v>
      </c>
      <c r="R3" s="12" t="s">
        <v>77</v>
      </c>
      <c r="S3" s="13" t="s">
        <v>78</v>
      </c>
      <c r="T3" s="14" t="s">
        <v>79</v>
      </c>
    </row>
    <row r="4" spans="2:23" ht="15" customHeight="1">
      <c r="B4" s="15">
        <v>0</v>
      </c>
      <c r="C4" s="16">
        <v>1</v>
      </c>
      <c r="D4" s="17">
        <f>'Defunciones generales'!D2</f>
        <v>518</v>
      </c>
      <c r="E4" s="17">
        <f>Homicidios!N7</f>
        <v>3.0335046977486262</v>
      </c>
      <c r="F4" s="18">
        <f>(D4-E4)/D4</f>
        <v>0.99414381332480961</v>
      </c>
      <c r="G4" s="19">
        <f>tabla_mortalidad_hombre_2010!G2</f>
        <v>100000</v>
      </c>
      <c r="H4" s="20">
        <f>tabla_mortalidad_hombre_2010!F2</f>
        <v>0.98332588208678895</v>
      </c>
      <c r="I4" s="21">
        <f t="shared" ref="I4:I22" si="0">1-H4</f>
        <v>1.6674117913211051E-2</v>
      </c>
      <c r="J4" s="22">
        <f>tabla_mortalidad_hombre_2010!D2</f>
        <v>9.0442516811999996E-2</v>
      </c>
      <c r="K4" s="23">
        <f>tabla_mortalidad_hombre_2010!K2</f>
        <v>62.494616898887898</v>
      </c>
      <c r="L4" s="21">
        <f>H4^F4</f>
        <v>0.98342271495190237</v>
      </c>
      <c r="M4" s="24">
        <f t="shared" ref="M4:M22" si="1">1-L4</f>
        <v>1.6577285048097634E-2</v>
      </c>
      <c r="N4" s="25">
        <v>100000</v>
      </c>
      <c r="O4" s="26">
        <f t="shared" ref="O4:O22" si="2">N4*M4</f>
        <v>1657.7285048097633</v>
      </c>
      <c r="P4" s="26">
        <f>C4+(F4*(I4/M4)*(J4-C4))</f>
        <v>9.0487172646119496E-2</v>
      </c>
      <c r="Q4" s="25">
        <f t="shared" ref="Q4:Q20" si="3">(C4*N5)+(P4*O4)</f>
        <v>98492.274660605341</v>
      </c>
      <c r="R4" s="25">
        <f t="shared" ref="R4:R21" si="4">R5+Q4</f>
        <v>7067606.8456809008</v>
      </c>
      <c r="S4" s="27">
        <f t="shared" ref="S4:S22" si="5">R4/N4</f>
        <v>70.676068456809006</v>
      </c>
      <c r="T4" s="28">
        <f t="shared" ref="T4:T22" si="6">S4-K4</f>
        <v>8.1814515579211076</v>
      </c>
    </row>
    <row r="5" spans="2:23" ht="15" customHeight="1">
      <c r="B5" s="15">
        <v>1</v>
      </c>
      <c r="C5" s="16">
        <v>4</v>
      </c>
      <c r="D5" s="17">
        <f>'Defunciones generales'!D3</f>
        <v>114</v>
      </c>
      <c r="E5" s="17">
        <f>Homicidios!N8</f>
        <v>13.14518702357738</v>
      </c>
      <c r="F5" s="18">
        <f t="shared" ref="F5:F22" si="7">(D5-E5)/D5</f>
        <v>0.88469134189844401</v>
      </c>
      <c r="G5" s="19">
        <f>tabla_mortalidad_hombre_2010!G3</f>
        <v>98332.588208678906</v>
      </c>
      <c r="H5" s="20">
        <f>tabla_mortalidad_hombre_2010!F3</f>
        <v>0.99670358367518197</v>
      </c>
      <c r="I5" s="21">
        <f t="shared" si="0"/>
        <v>3.29641632481803E-3</v>
      </c>
      <c r="J5" s="22">
        <f>tabla_mortalidad_hombre_2010!D3</f>
        <v>1.603322605312</v>
      </c>
      <c r="K5" s="23">
        <f>tabla_mortalidad_hombre_2010!K3</f>
        <v>62.552795658217597</v>
      </c>
      <c r="L5" s="21">
        <f>H5^F5</f>
        <v>0.99708313408502069</v>
      </c>
      <c r="M5" s="24">
        <f t="shared" si="1"/>
        <v>2.9168659149793053E-3</v>
      </c>
      <c r="N5" s="25">
        <f t="shared" ref="N5:N22" si="8">N4*L4</f>
        <v>98342.271495190231</v>
      </c>
      <c r="O5" s="26">
        <f t="shared" si="2"/>
        <v>286.8512197259613</v>
      </c>
      <c r="P5" s="26">
        <f>C5+(F5*(I5/M5)*(J5-C5))</f>
        <v>1.6037785726767284</v>
      </c>
      <c r="Q5" s="25">
        <f t="shared" si="3"/>
        <v>392681.7269415998</v>
      </c>
      <c r="R5" s="25">
        <f t="shared" si="4"/>
        <v>6969114.5710202958</v>
      </c>
      <c r="S5" s="18">
        <f t="shared" si="5"/>
        <v>70.865910102159319</v>
      </c>
      <c r="T5" s="28">
        <f t="shared" si="6"/>
        <v>8.3131144439417213</v>
      </c>
      <c r="V5" s="56" t="s">
        <v>80</v>
      </c>
      <c r="W5" s="57"/>
    </row>
    <row r="6" spans="2:23" ht="15" customHeight="1">
      <c r="B6" s="15">
        <v>5</v>
      </c>
      <c r="C6" s="16">
        <v>5</v>
      </c>
      <c r="D6" s="17">
        <f>'Defunciones generales'!D4</f>
        <v>68</v>
      </c>
      <c r="E6" s="17">
        <f>Homicidios!N9</f>
        <v>6.0670093954972524</v>
      </c>
      <c r="F6" s="18">
        <f>(D6-E6)/D6</f>
        <v>0.9107792735956286</v>
      </c>
      <c r="G6" s="19">
        <f>tabla_mortalidad_hombre_2010!G4</f>
        <v>98008.443059646204</v>
      </c>
      <c r="H6" s="20">
        <f>tabla_mortalidad_hombre_2010!F4</f>
        <v>0.99806761885411599</v>
      </c>
      <c r="I6" s="21">
        <f t="shared" si="0"/>
        <v>1.9323811458840101E-3</v>
      </c>
      <c r="J6" s="22">
        <f>tabla_mortalidad_hombre_2010!D4</f>
        <v>2.5</v>
      </c>
      <c r="K6" s="23">
        <f>tabla_mortalidad_hombre_2010!K4</f>
        <v>58.754374985563601</v>
      </c>
      <c r="L6" s="21">
        <f t="shared" ref="L6:L22" si="9">H6^F6</f>
        <v>0.99823987548000825</v>
      </c>
      <c r="M6" s="24">
        <f t="shared" si="1"/>
        <v>1.7601245199917459E-3</v>
      </c>
      <c r="N6" s="25">
        <f t="shared" si="8"/>
        <v>98055.420275464276</v>
      </c>
      <c r="O6" s="26">
        <f t="shared" si="2"/>
        <v>172.58974954494047</v>
      </c>
      <c r="P6" s="26">
        <f>C6+(F6*(I6/M6)*(J6-C6))</f>
        <v>2.5002156433137177</v>
      </c>
      <c r="Q6" s="25">
        <f t="shared" si="3"/>
        <v>489845.6642212845</v>
      </c>
      <c r="R6" s="25">
        <f t="shared" si="4"/>
        <v>6576432.8440786963</v>
      </c>
      <c r="S6" s="18">
        <f t="shared" si="5"/>
        <v>67.068529466333558</v>
      </c>
      <c r="T6" s="28">
        <f t="shared" si="6"/>
        <v>8.3141544807699574</v>
      </c>
      <c r="V6" s="58"/>
      <c r="W6" s="59"/>
    </row>
    <row r="7" spans="2:23" ht="15" customHeight="1">
      <c r="B7" s="15">
        <v>10</v>
      </c>
      <c r="C7" s="16">
        <v>5</v>
      </c>
      <c r="D7" s="17">
        <f>'Defunciones generales'!D5</f>
        <v>120</v>
      </c>
      <c r="E7" s="17">
        <f>Homicidios!N10</f>
        <v>37.413224605566391</v>
      </c>
      <c r="F7" s="18">
        <f t="shared" si="7"/>
        <v>0.68822312828694665</v>
      </c>
      <c r="G7" s="19">
        <f>tabla_mortalidad_hombre_2010!G5</f>
        <v>97819.053392140195</v>
      </c>
      <c r="H7" s="20">
        <f>tabla_mortalidad_hombre_2010!F5</f>
        <v>0.99647571625069897</v>
      </c>
      <c r="I7" s="21">
        <f t="shared" si="0"/>
        <v>3.5242837493010271E-3</v>
      </c>
      <c r="J7" s="22">
        <f>tabla_mortalidad_hombre_2010!D5</f>
        <v>2.5</v>
      </c>
      <c r="K7" s="23">
        <f>tabla_mortalidad_hombre_2010!K5</f>
        <v>53.863290345146602</v>
      </c>
      <c r="L7" s="21">
        <f t="shared" si="9"/>
        <v>0.99757317180114768</v>
      </c>
      <c r="M7" s="24">
        <f t="shared" si="1"/>
        <v>2.4268281988523155E-3</v>
      </c>
      <c r="N7" s="25">
        <f t="shared" si="8"/>
        <v>97882.830525919329</v>
      </c>
      <c r="O7" s="26">
        <f t="shared" si="2"/>
        <v>237.54481330378326</v>
      </c>
      <c r="P7" s="21">
        <f t="shared" ref="P7:P20" si="10">(((-5/24)*O6)+((2.5)*O7)+((5/24)*O8))/O7</f>
        <v>2.9266238609137072</v>
      </c>
      <c r="Q7" s="25">
        <f t="shared" si="3"/>
        <v>488921.63288172887</v>
      </c>
      <c r="R7" s="25">
        <f t="shared" si="4"/>
        <v>6086587.1798574114</v>
      </c>
      <c r="S7" s="18">
        <f t="shared" si="5"/>
        <v>62.182378126526345</v>
      </c>
      <c r="T7" s="28">
        <f t="shared" si="6"/>
        <v>8.3190877813797428</v>
      </c>
      <c r="V7" s="60"/>
      <c r="W7" s="61"/>
    </row>
    <row r="8" spans="2:23" ht="15" customHeight="1">
      <c r="B8" s="15">
        <v>15</v>
      </c>
      <c r="C8" s="16">
        <v>5</v>
      </c>
      <c r="D8" s="17">
        <f>'Defunciones generales'!D6</f>
        <v>770</v>
      </c>
      <c r="E8" s="17">
        <f>Homicidios!N11</f>
        <v>542.99734089700405</v>
      </c>
      <c r="F8" s="18">
        <f t="shared" si="7"/>
        <v>0.29480864818570901</v>
      </c>
      <c r="G8" s="19">
        <f>tabla_mortalidad_hombre_2010!G6</f>
        <v>97474.311291898295</v>
      </c>
      <c r="H8" s="20">
        <f>tabla_mortalidad_hombre_2010!F6</f>
        <v>0.97729055108654705</v>
      </c>
      <c r="I8" s="21">
        <f t="shared" si="0"/>
        <v>2.2709448913452945E-2</v>
      </c>
      <c r="J8" s="22">
        <f>tabla_mortalidad_hombre_2010!D6</f>
        <v>2.5</v>
      </c>
      <c r="K8" s="23">
        <f>tabla_mortalidad_hombre_2010!K6</f>
        <v>49.044949372578898</v>
      </c>
      <c r="L8" s="21">
        <f t="shared" si="9"/>
        <v>0.99325074718543338</v>
      </c>
      <c r="M8" s="24">
        <f t="shared" si="1"/>
        <v>6.7492528145666197E-3</v>
      </c>
      <c r="N8" s="25">
        <f t="shared" si="8"/>
        <v>97645.285712615543</v>
      </c>
      <c r="O8" s="26">
        <f t="shared" si="2"/>
        <v>659.03271942503216</v>
      </c>
      <c r="P8" s="21">
        <f t="shared" si="10"/>
        <v>2.7415940516841455</v>
      </c>
      <c r="Q8" s="25">
        <f t="shared" si="3"/>
        <v>486738.06514939351</v>
      </c>
      <c r="R8" s="25">
        <f t="shared" si="4"/>
        <v>5597665.5469756825</v>
      </c>
      <c r="S8" s="18">
        <f t="shared" si="5"/>
        <v>57.326531497387762</v>
      </c>
      <c r="T8" s="28">
        <f t="shared" si="6"/>
        <v>8.2815821248088639</v>
      </c>
      <c r="V8" s="29" t="s">
        <v>81</v>
      </c>
      <c r="W8" s="29" t="s">
        <v>82</v>
      </c>
    </row>
    <row r="9" spans="2:23" ht="15" customHeight="1">
      <c r="B9" s="15">
        <v>20</v>
      </c>
      <c r="C9" s="16">
        <v>5</v>
      </c>
      <c r="D9" s="17">
        <f>'Defunciones generales'!D7</f>
        <v>1277</v>
      </c>
      <c r="E9" s="17">
        <f>Homicidios!N12</f>
        <v>970.72150327956035</v>
      </c>
      <c r="F9" s="18">
        <f t="shared" si="7"/>
        <v>0.2398422057325291</v>
      </c>
      <c r="G9" s="19">
        <f>tabla_mortalidad_hombre_2010!G7</f>
        <v>95260.723399240902</v>
      </c>
      <c r="H9" s="20">
        <f>tabla_mortalidad_hombre_2010!F7</f>
        <v>0.95763293733469701</v>
      </c>
      <c r="I9" s="21">
        <f t="shared" si="0"/>
        <v>4.236706266530299E-2</v>
      </c>
      <c r="J9" s="22">
        <f>tabla_mortalidad_hombre_2010!D7</f>
        <v>2.5</v>
      </c>
      <c r="K9" s="23">
        <f>tabla_mortalidad_hombre_2010!K7</f>
        <v>45.1265214278706</v>
      </c>
      <c r="L9" s="21">
        <f t="shared" si="9"/>
        <v>0.98967077261155734</v>
      </c>
      <c r="M9" s="24">
        <f t="shared" si="1"/>
        <v>1.0329227388442663E-2</v>
      </c>
      <c r="N9" s="25">
        <f t="shared" si="8"/>
        <v>96986.252993190516</v>
      </c>
      <c r="O9" s="26">
        <f t="shared" si="2"/>
        <v>1001.7930607196927</v>
      </c>
      <c r="P9" s="21">
        <f t="shared" si="10"/>
        <v>2.6330656209261529</v>
      </c>
      <c r="Q9" s="25">
        <f t="shared" si="3"/>
        <v>482560.08652981755</v>
      </c>
      <c r="R9" s="25">
        <f t="shared" si="4"/>
        <v>5110927.4818262886</v>
      </c>
      <c r="S9" s="18">
        <f t="shared" si="5"/>
        <v>52.697442411607874</v>
      </c>
      <c r="T9" s="28">
        <f t="shared" si="6"/>
        <v>7.570920983737274</v>
      </c>
      <c r="V9" s="30">
        <f>([2]TV!M53-[2]TV!M71)/[2]TV!J53</f>
        <v>66.401396448949356</v>
      </c>
      <c r="W9" s="30">
        <f>(R4-R22)/N4</f>
        <v>69.095490464088783</v>
      </c>
    </row>
    <row r="10" spans="2:23" ht="15" customHeight="1">
      <c r="B10" s="15">
        <v>25</v>
      </c>
      <c r="C10" s="16">
        <v>5</v>
      </c>
      <c r="D10" s="17">
        <f>'Defunciones generales'!D8</f>
        <v>1405</v>
      </c>
      <c r="E10" s="17">
        <f>Homicidios!N13</f>
        <v>1049.5926254210246</v>
      </c>
      <c r="F10" s="18">
        <f t="shared" si="7"/>
        <v>0.25295898546546286</v>
      </c>
      <c r="G10" s="19">
        <f>tabla_mortalidad_hombre_2010!G8</f>
        <v>91224.806361443101</v>
      </c>
      <c r="H10" s="20">
        <f>tabla_mortalidad_hombre_2010!F8</f>
        <v>0.94756344159914796</v>
      </c>
      <c r="I10" s="21">
        <f t="shared" si="0"/>
        <v>5.243655840085204E-2</v>
      </c>
      <c r="J10" s="22">
        <f>tabla_mortalidad_hombre_2010!D8</f>
        <v>2.5</v>
      </c>
      <c r="K10" s="23">
        <f>tabla_mortalidad_hombre_2010!K8</f>
        <v>42.012380230477099</v>
      </c>
      <c r="L10" s="21">
        <f t="shared" si="9"/>
        <v>0.9864676745014046</v>
      </c>
      <c r="M10" s="24">
        <f t="shared" si="1"/>
        <v>1.3532325498595399E-2</v>
      </c>
      <c r="N10" s="25">
        <f t="shared" si="8"/>
        <v>95984.459932470825</v>
      </c>
      <c r="O10" s="26">
        <f t="shared" si="2"/>
        <v>1298.8929546130832</v>
      </c>
      <c r="P10" s="21">
        <f t="shared" si="10"/>
        <v>2.5812379465601003</v>
      </c>
      <c r="Q10" s="25">
        <f t="shared" si="3"/>
        <v>476780.58667225554</v>
      </c>
      <c r="R10" s="25">
        <f t="shared" si="4"/>
        <v>4628367.3952964712</v>
      </c>
      <c r="S10" s="18">
        <f t="shared" si="5"/>
        <v>48.219966008588536</v>
      </c>
      <c r="T10" s="28">
        <f t="shared" si="6"/>
        <v>6.2075857781114365</v>
      </c>
      <c r="V10" s="31" t="s">
        <v>83</v>
      </c>
      <c r="W10" s="30">
        <f>W9-V9</f>
        <v>2.6940940151394273</v>
      </c>
    </row>
    <row r="11" spans="2:23" ht="15" customHeight="1">
      <c r="B11" s="15">
        <v>30</v>
      </c>
      <c r="C11" s="16">
        <v>5</v>
      </c>
      <c r="D11" s="17">
        <f>'Defunciones generales'!D9</f>
        <v>1474</v>
      </c>
      <c r="E11" s="17">
        <f>Homicidios!N14</f>
        <v>1062.737812444602</v>
      </c>
      <c r="F11" s="18">
        <f t="shared" si="7"/>
        <v>0.27901098205929309</v>
      </c>
      <c r="G11" s="19">
        <f>tabla_mortalidad_hombre_2010!G9</f>
        <v>86441.291475064907</v>
      </c>
      <c r="H11" s="20">
        <f>tabla_mortalidad_hombre_2010!F9</f>
        <v>0.94407274043657397</v>
      </c>
      <c r="I11" s="21">
        <f t="shared" si="0"/>
        <v>5.5927259563426035E-2</v>
      </c>
      <c r="J11" s="22">
        <f>tabla_mortalidad_hombre_2010!D9</f>
        <v>2.5</v>
      </c>
      <c r="K11" s="23">
        <f>tabla_mortalidad_hombre_2010!K9</f>
        <v>39.198928531681503</v>
      </c>
      <c r="L11" s="21">
        <f t="shared" si="9"/>
        <v>0.98407058000765502</v>
      </c>
      <c r="M11" s="24">
        <f t="shared" si="1"/>
        <v>1.5929419992344984E-2</v>
      </c>
      <c r="N11" s="25">
        <f t="shared" si="8"/>
        <v>94685.566977857743</v>
      </c>
      <c r="O11" s="26">
        <f t="shared" si="2"/>
        <v>1508.2861636036071</v>
      </c>
      <c r="P11" s="21">
        <f t="shared" si="10"/>
        <v>2.5489322268285539</v>
      </c>
      <c r="Q11" s="25">
        <f t="shared" si="3"/>
        <v>469730.92328095948</v>
      </c>
      <c r="R11" s="25">
        <f t="shared" si="4"/>
        <v>4151586.8086242159</v>
      </c>
      <c r="S11" s="18">
        <f t="shared" si="5"/>
        <v>43.846036319295273</v>
      </c>
      <c r="T11" s="28">
        <f t="shared" si="6"/>
        <v>4.6471077876137699</v>
      </c>
    </row>
    <row r="12" spans="2:23" ht="15" customHeight="1">
      <c r="B12" s="15">
        <v>35</v>
      </c>
      <c r="C12" s="16">
        <v>5</v>
      </c>
      <c r="D12" s="17">
        <f>'Defunciones generales'!D10</f>
        <v>1265</v>
      </c>
      <c r="E12" s="17">
        <f>Homicidios!N15</f>
        <v>790.73355787980859</v>
      </c>
      <c r="F12" s="18">
        <f t="shared" si="7"/>
        <v>0.37491418349422245</v>
      </c>
      <c r="G12" s="19">
        <f>tabla_mortalidad_hombre_2010!G10</f>
        <v>81606.866929741198</v>
      </c>
      <c r="H12" s="20">
        <f>tabla_mortalidad_hombre_2010!F10</f>
        <v>0.953374331828166</v>
      </c>
      <c r="I12" s="21">
        <f t="shared" si="0"/>
        <v>4.6625668171834E-2</v>
      </c>
      <c r="J12" s="22">
        <f>tabla_mortalidad_hombre_2010!D10</f>
        <v>2.5</v>
      </c>
      <c r="K12" s="23">
        <f>tabla_mortalidad_hombre_2010!K10</f>
        <v>36.372988234688997</v>
      </c>
      <c r="L12" s="21">
        <f t="shared" si="9"/>
        <v>0.98225800126994767</v>
      </c>
      <c r="M12" s="24">
        <f t="shared" si="1"/>
        <v>1.7741998730052333E-2</v>
      </c>
      <c r="N12" s="25">
        <f t="shared" si="8"/>
        <v>93177.280814254133</v>
      </c>
      <c r="O12" s="26">
        <f t="shared" si="2"/>
        <v>1653.1511978762264</v>
      </c>
      <c r="P12" s="21">
        <f t="shared" si="10"/>
        <v>2.5874028122003296</v>
      </c>
      <c r="Q12" s="25">
        <f t="shared" si="3"/>
        <v>461898.01614026679</v>
      </c>
      <c r="R12" s="25">
        <f t="shared" si="4"/>
        <v>3681855.8853432564</v>
      </c>
      <c r="S12" s="18">
        <f t="shared" si="5"/>
        <v>39.514523853544468</v>
      </c>
      <c r="T12" s="28">
        <f t="shared" si="6"/>
        <v>3.1415356188554711</v>
      </c>
    </row>
    <row r="13" spans="2:23" ht="15" customHeight="1">
      <c r="B13" s="15">
        <v>40</v>
      </c>
      <c r="C13" s="16">
        <v>5</v>
      </c>
      <c r="D13" s="17">
        <f>'Defunciones generales'!D11</f>
        <v>1048</v>
      </c>
      <c r="E13" s="17">
        <f>Homicidios!N16</f>
        <v>495.47243396560896</v>
      </c>
      <c r="F13" s="18">
        <f t="shared" si="7"/>
        <v>0.52722095995648</v>
      </c>
      <c r="G13" s="19">
        <f>tabla_mortalidad_hombre_2010!G11</f>
        <v>77801.892231731996</v>
      </c>
      <c r="H13" s="20">
        <f>tabla_mortalidad_hombre_2010!F11</f>
        <v>0.95486190625797895</v>
      </c>
      <c r="I13" s="21">
        <f t="shared" si="0"/>
        <v>4.5138093742021046E-2</v>
      </c>
      <c r="J13" s="22">
        <f>tabla_mortalidad_hombre_2010!D11</f>
        <v>2.5</v>
      </c>
      <c r="K13" s="23">
        <f>tabla_mortalidad_hombre_2010!K11</f>
        <v>33.029578575641999</v>
      </c>
      <c r="L13" s="21">
        <f t="shared" si="9"/>
        <v>0.97594253582602897</v>
      </c>
      <c r="M13" s="24">
        <f t="shared" si="1"/>
        <v>2.4057464173971033E-2</v>
      </c>
      <c r="N13" s="25">
        <f t="shared" si="8"/>
        <v>91524.129616377904</v>
      </c>
      <c r="O13" s="26">
        <f t="shared" si="2"/>
        <v>2201.8384692998925</v>
      </c>
      <c r="P13" s="21">
        <f t="shared" si="10"/>
        <v>2.5745660425365879</v>
      </c>
      <c r="Q13" s="25">
        <f t="shared" si="3"/>
        <v>452280.23428960034</v>
      </c>
      <c r="R13" s="25">
        <f t="shared" si="4"/>
        <v>3219957.8692029896</v>
      </c>
      <c r="S13" s="18">
        <f t="shared" si="5"/>
        <v>35.181518608255523</v>
      </c>
      <c r="T13" s="28">
        <f t="shared" si="6"/>
        <v>2.1519400326135241</v>
      </c>
    </row>
    <row r="14" spans="2:23" ht="15" customHeight="1">
      <c r="B14" s="15">
        <v>45</v>
      </c>
      <c r="C14" s="16">
        <v>5</v>
      </c>
      <c r="D14" s="17">
        <f>'Defunciones generales'!D12</f>
        <v>821</v>
      </c>
      <c r="E14" s="17">
        <f>Homicidios!N17</f>
        <v>309.41747917035985</v>
      </c>
      <c r="F14" s="18">
        <f t="shared" si="7"/>
        <v>0.62312121903732054</v>
      </c>
      <c r="G14" s="19">
        <f>tabla_mortalidad_hombre_2010!G12</f>
        <v>74290.0631268695</v>
      </c>
      <c r="H14" s="20">
        <f>tabla_mortalidad_hombre_2010!F12</f>
        <v>0.956503115666403</v>
      </c>
      <c r="I14" s="21">
        <f t="shared" si="0"/>
        <v>4.3496884333596997E-2</v>
      </c>
      <c r="J14" s="22">
        <f>tabla_mortalidad_hombre_2010!D12</f>
        <v>2.5</v>
      </c>
      <c r="K14" s="23">
        <f>tabla_mortalidad_hombre_2010!K12</f>
        <v>29.472768392536199</v>
      </c>
      <c r="L14" s="21">
        <f t="shared" si="9"/>
        <v>0.97266945803632643</v>
      </c>
      <c r="M14" s="24">
        <f t="shared" si="1"/>
        <v>2.7330541963673571E-2</v>
      </c>
      <c r="N14" s="25">
        <f t="shared" si="8"/>
        <v>89322.291147078009</v>
      </c>
      <c r="O14" s="26">
        <f t="shared" si="2"/>
        <v>2441.2266264866839</v>
      </c>
      <c r="P14" s="21">
        <f t="shared" si="10"/>
        <v>2.6128398712672922</v>
      </c>
      <c r="Q14" s="25">
        <f t="shared" si="3"/>
        <v>440783.85686744045</v>
      </c>
      <c r="R14" s="25">
        <f t="shared" si="4"/>
        <v>2767677.6349133891</v>
      </c>
      <c r="S14" s="18">
        <f t="shared" si="5"/>
        <v>30.985296048397746</v>
      </c>
      <c r="T14" s="28">
        <f t="shared" si="6"/>
        <v>1.5125276558615468</v>
      </c>
    </row>
    <row r="15" spans="2:23" ht="15" customHeight="1">
      <c r="B15" s="15">
        <v>50</v>
      </c>
      <c r="C15" s="16">
        <v>5</v>
      </c>
      <c r="D15" s="17">
        <f>'Defunciones generales'!D13</f>
        <v>795</v>
      </c>
      <c r="E15" s="17">
        <f>Homicidios!N18</f>
        <v>178.97677716716893</v>
      </c>
      <c r="F15" s="18">
        <f t="shared" si="7"/>
        <v>0.7748719784060768</v>
      </c>
      <c r="G15" s="19">
        <f>tabla_mortalidad_hombre_2010!G13</f>
        <v>71058.676843904395</v>
      </c>
      <c r="H15" s="20">
        <f>tabla_mortalidad_hombre_2010!F13</f>
        <v>0.94796454421100695</v>
      </c>
      <c r="I15" s="21">
        <f t="shared" si="0"/>
        <v>5.2035455788993046E-2</v>
      </c>
      <c r="J15" s="22">
        <f>tabla_mortalidad_hombre_2010!D13</f>
        <v>2.5</v>
      </c>
      <c r="K15" s="23">
        <f>tabla_mortalidad_hombre_2010!K13</f>
        <v>25.699352360440699</v>
      </c>
      <c r="L15" s="21">
        <f t="shared" si="9"/>
        <v>0.95943784252152586</v>
      </c>
      <c r="M15" s="24">
        <f t="shared" si="1"/>
        <v>4.0562157478474137E-2</v>
      </c>
      <c r="N15" s="25">
        <f t="shared" si="8"/>
        <v>86881.064520591332</v>
      </c>
      <c r="O15" s="26">
        <f t="shared" si="2"/>
        <v>3524.0834209816976</v>
      </c>
      <c r="P15" s="21">
        <f t="shared" si="10"/>
        <v>2.6735724780404224</v>
      </c>
      <c r="Q15" s="25">
        <f t="shared" si="3"/>
        <v>426206.79794270336</v>
      </c>
      <c r="R15" s="25">
        <f t="shared" si="4"/>
        <v>2326893.7780459486</v>
      </c>
      <c r="S15" s="18">
        <f t="shared" si="5"/>
        <v>26.782519193171957</v>
      </c>
      <c r="T15" s="28">
        <f t="shared" si="6"/>
        <v>1.0831668327312585</v>
      </c>
    </row>
    <row r="16" spans="2:23" ht="15" customHeight="1">
      <c r="B16" s="15">
        <v>55</v>
      </c>
      <c r="C16" s="16">
        <v>5</v>
      </c>
      <c r="D16" s="17">
        <f>'Defunciones generales'!D14</f>
        <v>812</v>
      </c>
      <c r="E16" s="17">
        <f>Homicidios!N19</f>
        <v>91.005140932458787</v>
      </c>
      <c r="F16" s="18">
        <f t="shared" si="7"/>
        <v>0.88792470328514927</v>
      </c>
      <c r="G16" s="19">
        <f>tabla_mortalidad_hombre_2010!G14</f>
        <v>67361.106206569093</v>
      </c>
      <c r="H16" s="20">
        <f>tabla_mortalidad_hombre_2010!F14</f>
        <v>0.92764962772423198</v>
      </c>
      <c r="I16" s="21">
        <f t="shared" si="0"/>
        <v>7.2350372275768016E-2</v>
      </c>
      <c r="J16" s="22">
        <f>tabla_mortalidad_hombre_2010!D14</f>
        <v>2.5</v>
      </c>
      <c r="K16" s="23">
        <f>tabla_mortalidad_hombre_2010!K14</f>
        <v>21.9728059737187</v>
      </c>
      <c r="L16" s="21">
        <f t="shared" si="9"/>
        <v>0.93549059433155879</v>
      </c>
      <c r="M16" s="24">
        <f t="shared" si="1"/>
        <v>6.4509405668441211E-2</v>
      </c>
      <c r="N16" s="25">
        <f t="shared" si="8"/>
        <v>83356.981099609635</v>
      </c>
      <c r="O16" s="26">
        <f t="shared" si="2"/>
        <v>5377.3093090513048</v>
      </c>
      <c r="P16" s="21">
        <f t="shared" si="10"/>
        <v>2.6258778793393831</v>
      </c>
      <c r="Q16" s="25">
        <f t="shared" si="3"/>
        <v>404018.51651779521</v>
      </c>
      <c r="R16" s="25">
        <f t="shared" si="4"/>
        <v>1900686.980103245</v>
      </c>
      <c r="S16" s="18">
        <f t="shared" si="5"/>
        <v>22.801773229190829</v>
      </c>
      <c r="T16" s="28">
        <f t="shared" si="6"/>
        <v>0.82896725547212924</v>
      </c>
    </row>
    <row r="17" spans="2:28" ht="15" customHeight="1">
      <c r="B17" s="15">
        <v>60</v>
      </c>
      <c r="C17" s="16">
        <v>5</v>
      </c>
      <c r="D17" s="17">
        <f>'Defunciones generales'!D15</f>
        <v>848</v>
      </c>
      <c r="E17" s="17">
        <f>Homicidios!N20</f>
        <v>49.547243396560894</v>
      </c>
      <c r="F17" s="18">
        <f t="shared" si="7"/>
        <v>0.94157164693801776</v>
      </c>
      <c r="G17" s="19">
        <f>tabla_mortalidad_hombre_2010!G15</f>
        <v>62487.505095616201</v>
      </c>
      <c r="H17" s="20">
        <f>tabla_mortalidad_hombre_2010!F15</f>
        <v>0.90800817169371795</v>
      </c>
      <c r="I17" s="21">
        <f t="shared" si="0"/>
        <v>9.1991828306282053E-2</v>
      </c>
      <c r="J17" s="22">
        <f>tabla_mortalidad_hombre_2010!D15</f>
        <v>2.5</v>
      </c>
      <c r="K17" s="23">
        <f>tabla_mortalidad_hombre_2010!K15</f>
        <v>18.491552620455</v>
      </c>
      <c r="L17" s="21">
        <f t="shared" si="9"/>
        <v>0.91314238866541086</v>
      </c>
      <c r="M17" s="24">
        <f t="shared" si="1"/>
        <v>8.6857611334589135E-2</v>
      </c>
      <c r="N17" s="25">
        <f t="shared" si="8"/>
        <v>77979.671790558335</v>
      </c>
      <c r="O17" s="26">
        <f t="shared" si="2"/>
        <v>6773.1280243831407</v>
      </c>
      <c r="P17" s="21">
        <f t="shared" si="10"/>
        <v>2.6492877360563432</v>
      </c>
      <c r="Q17" s="25">
        <f t="shared" si="3"/>
        <v>373976.6838406137</v>
      </c>
      <c r="R17" s="25">
        <f t="shared" si="4"/>
        <v>1496668.4635854498</v>
      </c>
      <c r="S17" s="18">
        <f t="shared" si="5"/>
        <v>19.19305928351784</v>
      </c>
      <c r="T17" s="28">
        <f t="shared" si="6"/>
        <v>0.70150666306284037</v>
      </c>
    </row>
    <row r="18" spans="2:28" ht="15" customHeight="1">
      <c r="B18" s="15">
        <v>65</v>
      </c>
      <c r="C18" s="16">
        <v>5</v>
      </c>
      <c r="D18" s="17">
        <f>'Defunciones generales'!D16</f>
        <v>1094</v>
      </c>
      <c r="E18" s="17">
        <f>Homicidios!N21</f>
        <v>44.491402233646518</v>
      </c>
      <c r="F18" s="18">
        <f t="shared" si="7"/>
        <v>0.95933144219959177</v>
      </c>
      <c r="G18" s="19">
        <f>tabla_mortalidad_hombre_2010!G16</f>
        <v>56739.165255572399</v>
      </c>
      <c r="H18" s="20">
        <f>tabla_mortalidad_hombre_2010!F16</f>
        <v>0.85070988245741297</v>
      </c>
      <c r="I18" s="21">
        <f t="shared" si="0"/>
        <v>0.14929011754258703</v>
      </c>
      <c r="J18" s="22">
        <f>tabla_mortalidad_hombre_2010!D16</f>
        <v>2.5</v>
      </c>
      <c r="K18" s="23">
        <f>tabla_mortalidad_hombre_2010!K16</f>
        <v>15.1116835938004</v>
      </c>
      <c r="L18" s="21">
        <f t="shared" si="9"/>
        <v>0.85632212262976248</v>
      </c>
      <c r="M18" s="24">
        <f t="shared" si="1"/>
        <v>0.14367787737023752</v>
      </c>
      <c r="N18" s="25">
        <f t="shared" si="8"/>
        <v>71206.543766175193</v>
      </c>
      <c r="O18" s="26">
        <f t="shared" si="2"/>
        <v>10230.80506319497</v>
      </c>
      <c r="P18" s="21">
        <f t="shared" si="10"/>
        <v>2.5949044924437845</v>
      </c>
      <c r="Q18" s="25">
        <f t="shared" si="3"/>
        <v>331426.65553470235</v>
      </c>
      <c r="R18" s="25">
        <f t="shared" si="4"/>
        <v>1122691.779744836</v>
      </c>
      <c r="S18" s="18">
        <f t="shared" si="5"/>
        <v>15.766693907114496</v>
      </c>
      <c r="T18" s="28">
        <f t="shared" si="6"/>
        <v>0.65501031331409543</v>
      </c>
    </row>
    <row r="19" spans="2:28" ht="15" customHeight="1">
      <c r="B19" s="15">
        <v>70</v>
      </c>
      <c r="C19" s="16">
        <v>5</v>
      </c>
      <c r="D19" s="17">
        <f>'Defunciones generales'!D17</f>
        <v>1149</v>
      </c>
      <c r="E19" s="17">
        <f>Homicidios!N22</f>
        <v>26.29037404715476</v>
      </c>
      <c r="F19" s="18">
        <f t="shared" si="7"/>
        <v>0.97711890857514816</v>
      </c>
      <c r="G19" s="19">
        <f>tabla_mortalidad_hombre_2010!G17</f>
        <v>48268.568605299697</v>
      </c>
      <c r="H19" s="20">
        <f>tabla_mortalidad_hombre_2010!F17</f>
        <v>0.80854673612113104</v>
      </c>
      <c r="I19" s="21">
        <f t="shared" si="0"/>
        <v>0.19145326387886896</v>
      </c>
      <c r="J19" s="22">
        <f>tabla_mortalidad_hombre_2010!D17</f>
        <v>2.5</v>
      </c>
      <c r="K19" s="23">
        <f>tabla_mortalidad_hombre_2010!K17</f>
        <v>12.3248937197832</v>
      </c>
      <c r="L19" s="21">
        <f t="shared" si="9"/>
        <v>0.81248796317525152</v>
      </c>
      <c r="M19" s="24">
        <f t="shared" si="1"/>
        <v>0.18751203682474848</v>
      </c>
      <c r="N19" s="25">
        <f t="shared" si="8"/>
        <v>60975.738702980219</v>
      </c>
      <c r="O19" s="26">
        <f t="shared" si="2"/>
        <v>11433.684961089468</v>
      </c>
      <c r="P19" s="21">
        <f t="shared" si="10"/>
        <v>2.5684809917160112</v>
      </c>
      <c r="Q19" s="25">
        <f>(C19*N20)+(P19*O19)</f>
        <v>277077.47119728127</v>
      </c>
      <c r="R19" s="25">
        <f t="shared" si="4"/>
        <v>791265.12421013357</v>
      </c>
      <c r="S19" s="18">
        <f t="shared" si="5"/>
        <v>12.976720594800438</v>
      </c>
      <c r="T19" s="28">
        <f t="shared" si="6"/>
        <v>0.6518268750172389</v>
      </c>
    </row>
    <row r="20" spans="2:28" ht="15" customHeight="1">
      <c r="B20" s="15">
        <v>75</v>
      </c>
      <c r="C20" s="16">
        <v>5</v>
      </c>
      <c r="D20" s="17">
        <f>'Defunciones generales'!D18</f>
        <v>1136</v>
      </c>
      <c r="E20" s="17">
        <f>Homicidios!N23</f>
        <v>12.134018790994505</v>
      </c>
      <c r="F20" s="18">
        <f t="shared" si="7"/>
        <v>0.98931864543046255</v>
      </c>
      <c r="G20" s="19">
        <f>tabla_mortalidad_hombre_2010!G18</f>
        <v>39027.393603053999</v>
      </c>
      <c r="H20" s="20">
        <f>tabla_mortalidad_hombre_2010!F18</f>
        <v>0.71506445277600394</v>
      </c>
      <c r="I20" s="21">
        <f t="shared" si="0"/>
        <v>0.28493554722399606</v>
      </c>
      <c r="J20" s="22">
        <f>tabla_mortalidad_hombre_2010!D18</f>
        <v>2.5</v>
      </c>
      <c r="K20" s="23">
        <f>tabla_mortalidad_hombre_2010!K18</f>
        <v>9.6512997095462207</v>
      </c>
      <c r="L20" s="21">
        <f t="shared" si="9"/>
        <v>0.71763065082897859</v>
      </c>
      <c r="M20" s="24">
        <f t="shared" si="1"/>
        <v>0.28236934917102141</v>
      </c>
      <c r="N20" s="25">
        <f t="shared" si="8"/>
        <v>49542.053741890748</v>
      </c>
      <c r="O20" s="26">
        <f t="shared" si="2"/>
        <v>13989.157471693456</v>
      </c>
      <c r="P20" s="21">
        <f t="shared" si="10"/>
        <v>2.5378324288625458</v>
      </c>
      <c r="Q20" s="25">
        <f t="shared" si="3"/>
        <v>213266.6188351149</v>
      </c>
      <c r="R20" s="25">
        <f t="shared" si="4"/>
        <v>514187.6530128523</v>
      </c>
      <c r="S20" s="18">
        <f t="shared" si="5"/>
        <v>10.378811820997967</v>
      </c>
      <c r="T20" s="28">
        <f t="shared" si="6"/>
        <v>0.72751211145174643</v>
      </c>
    </row>
    <row r="21" spans="2:28" ht="15" customHeight="1">
      <c r="B21" s="15">
        <v>80</v>
      </c>
      <c r="C21" s="16">
        <v>5</v>
      </c>
      <c r="D21" s="17">
        <f>'Defunciones generales'!D19</f>
        <v>958</v>
      </c>
      <c r="E21" s="17">
        <f>Homicidios!N24</f>
        <v>4.0446729303315019</v>
      </c>
      <c r="F21" s="18">
        <f t="shared" si="7"/>
        <v>0.99577800320424681</v>
      </c>
      <c r="G21" s="19">
        <f>tabla_mortalidad_hombre_2010!G19</f>
        <v>27907.101850041501</v>
      </c>
      <c r="H21" s="20">
        <f>tabla_mortalidad_hombre_2010!F19</f>
        <v>0.60566673509817603</v>
      </c>
      <c r="I21" s="21">
        <f t="shared" si="0"/>
        <v>0.39433326490182397</v>
      </c>
      <c r="J21" s="22">
        <f>tabla_mortalidad_hombre_2010!D19</f>
        <v>2.5</v>
      </c>
      <c r="K21" s="23">
        <f>tabla_mortalidad_hombre_2010!K19</f>
        <v>7.5009162555677902</v>
      </c>
      <c r="L21" s="21">
        <f t="shared" si="9"/>
        <v>0.60695029967787884</v>
      </c>
      <c r="M21" s="24">
        <f t="shared" si="1"/>
        <v>0.39304970032212116</v>
      </c>
      <c r="N21" s="25">
        <f t="shared" si="8"/>
        <v>35552.896270197292</v>
      </c>
      <c r="O21" s="26">
        <f t="shared" si="2"/>
        <v>13974.055224584505</v>
      </c>
      <c r="P21" s="26">
        <f>C21+(F21*(I21/M21)*(J21-C21))</f>
        <v>2.5024253243346779</v>
      </c>
      <c r="Q21" s="25">
        <f>(C21*N22)+(P21*O21)</f>
        <v>142863.23490571551</v>
      </c>
      <c r="R21" s="25">
        <f t="shared" si="4"/>
        <v>300921.03417773737</v>
      </c>
      <c r="S21" s="18">
        <f t="shared" si="5"/>
        <v>8.4640371319055827</v>
      </c>
      <c r="T21" s="28">
        <f t="shared" si="6"/>
        <v>0.96312087633779253</v>
      </c>
    </row>
    <row r="22" spans="2:28" ht="15" customHeight="1">
      <c r="B22" s="32">
        <v>85</v>
      </c>
      <c r="C22" s="33">
        <v>5</v>
      </c>
      <c r="D22" s="17">
        <f>'Defunciones generales'!D20</f>
        <v>1136</v>
      </c>
      <c r="E22" s="17">
        <f>Homicidios!N25</f>
        <v>16.178691721326008</v>
      </c>
      <c r="F22" s="34">
        <f t="shared" si="7"/>
        <v>0.98575819390728348</v>
      </c>
      <c r="G22" s="19">
        <f>tabla_mortalidad_hombre_2010!G20</f>
        <v>16902.403263566899</v>
      </c>
      <c r="H22" s="20">
        <f>tabla_mortalidad_hombre_2010!F20</f>
        <v>0</v>
      </c>
      <c r="I22" s="35">
        <f t="shared" si="0"/>
        <v>1</v>
      </c>
      <c r="J22" s="22">
        <f>tabla_mortalidad_hombre_2010!D20</f>
        <v>0</v>
      </c>
      <c r="K22" s="23">
        <f>tabla_mortalidad_hombre_2010!K20</f>
        <v>5.7568778599953303</v>
      </c>
      <c r="L22" s="35">
        <f t="shared" si="9"/>
        <v>0</v>
      </c>
      <c r="M22" s="37">
        <f t="shared" si="1"/>
        <v>1</v>
      </c>
      <c r="N22" s="38">
        <f t="shared" si="8"/>
        <v>21578.841045612786</v>
      </c>
      <c r="O22" s="39">
        <f t="shared" si="2"/>
        <v>21578.841045612786</v>
      </c>
      <c r="P22" s="35">
        <f>K22/F22</f>
        <v>5.8400507300645375</v>
      </c>
      <c r="Q22" s="36">
        <f>N22/[1]LT!E39</f>
        <v>158057.79927202186</v>
      </c>
      <c r="R22" s="38">
        <f>Q22</f>
        <v>158057.79927202186</v>
      </c>
      <c r="S22" s="34">
        <f t="shared" si="5"/>
        <v>7.3246658121223218</v>
      </c>
      <c r="T22" s="40">
        <f t="shared" si="6"/>
        <v>1.5677879521269915</v>
      </c>
    </row>
    <row r="24" spans="2:28" ht="15" customHeight="1">
      <c r="B24" s="62" t="s">
        <v>84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</row>
    <row r="25" spans="2:28">
      <c r="C25" s="41"/>
      <c r="D25" s="41"/>
      <c r="E25" s="41"/>
      <c r="F25" s="41"/>
    </row>
    <row r="26" spans="2:28" ht="33" customHeight="1">
      <c r="B26" s="9" t="s">
        <v>69</v>
      </c>
      <c r="C26" s="10" t="s">
        <v>1</v>
      </c>
      <c r="D26" s="10" t="s">
        <v>70</v>
      </c>
      <c r="E26" s="10" t="s">
        <v>71</v>
      </c>
      <c r="F26" s="11"/>
      <c r="G26" s="12"/>
      <c r="H26" s="12"/>
      <c r="I26" s="12" t="s">
        <v>72</v>
      </c>
      <c r="J26" s="12"/>
      <c r="K26" s="13" t="s">
        <v>73</v>
      </c>
      <c r="L26" s="12"/>
      <c r="M26" s="12" t="s">
        <v>74</v>
      </c>
      <c r="N26" s="12"/>
      <c r="O26" s="12" t="s">
        <v>75</v>
      </c>
      <c r="P26" s="12"/>
      <c r="Q26" s="12" t="s">
        <v>76</v>
      </c>
      <c r="R26" s="12" t="s">
        <v>77</v>
      </c>
      <c r="S26" s="13" t="s">
        <v>78</v>
      </c>
      <c r="T26" s="14" t="s">
        <v>79</v>
      </c>
      <c r="AA26" s="42" t="s">
        <v>85</v>
      </c>
      <c r="AB26" s="42" t="s">
        <v>86</v>
      </c>
    </row>
    <row r="27" spans="2:28">
      <c r="B27" s="15">
        <v>0</v>
      </c>
      <c r="C27" s="16">
        <v>1</v>
      </c>
      <c r="D27" s="43">
        <f>'Defunciones generales'!D59</f>
        <v>397</v>
      </c>
      <c r="E27" s="43">
        <f>Homicidios!N64</f>
        <v>2.0070298769771528</v>
      </c>
      <c r="F27" s="18">
        <f t="shared" ref="F27:F45" si="11">(D27-E27)/D27</f>
        <v>0.99494450912600219</v>
      </c>
      <c r="G27" s="44">
        <f>tabla_mortalidad_mujer_2010!G2</f>
        <v>100000</v>
      </c>
      <c r="H27" s="45">
        <f>tabla_mortalidad_mujer_2010!F2</f>
        <v>0.98681622979578898</v>
      </c>
      <c r="I27" s="21">
        <f t="shared" ref="I27:I45" si="12">1-H27</f>
        <v>1.3183770204211021E-2</v>
      </c>
      <c r="J27" s="46">
        <f>tabla_mortalidad_mujer_2010!D2</f>
        <v>9.0362626000000001E-2</v>
      </c>
      <c r="K27" s="47">
        <f>tabla_mortalidad_mujer_2010!K2</f>
        <v>75.078612704422099</v>
      </c>
      <c r="L27" s="21">
        <f t="shared" ref="L27:L45" si="13">H27^F27</f>
        <v>0.98688244115132118</v>
      </c>
      <c r="M27" s="24">
        <f t="shared" ref="M27:M45" si="14">1-L27</f>
        <v>1.3117558848678823E-2</v>
      </c>
      <c r="N27" s="25">
        <v>100000</v>
      </c>
      <c r="O27" s="26">
        <f t="shared" ref="O27:O45" si="15">N27*M27</f>
        <v>1311.7558848678823</v>
      </c>
      <c r="P27" s="26">
        <f>C27+(F27*(I27/M27)*(J27-C27))</f>
        <v>9.0393073624216891E-2</v>
      </c>
      <c r="Q27" s="25">
        <f t="shared" ref="Q27:Q44" si="16">(C27*N28)+(P27*O27)</f>
        <v>98806.81776140997</v>
      </c>
      <c r="R27" s="25">
        <f t="shared" ref="R27:R44" si="17">R28+Q27</f>
        <v>7658202.4153235545</v>
      </c>
      <c r="S27" s="48">
        <f t="shared" ref="S27:S45" si="18">R27/N27</f>
        <v>76.582024153235551</v>
      </c>
      <c r="T27" s="28">
        <f t="shared" ref="T27:T45" si="19">S27-K27</f>
        <v>1.503411448813452</v>
      </c>
      <c r="Z27" s="49" t="s">
        <v>87</v>
      </c>
      <c r="AA27" s="50">
        <f>S4</f>
        <v>70.676068456809006</v>
      </c>
      <c r="AB27" s="50">
        <f>S27</f>
        <v>76.582024153235551</v>
      </c>
    </row>
    <row r="28" spans="2:28">
      <c r="B28" s="15">
        <v>1</v>
      </c>
      <c r="C28" s="16">
        <v>4</v>
      </c>
      <c r="D28" s="43">
        <f>'Defunciones generales'!D60</f>
        <v>75</v>
      </c>
      <c r="E28" s="43">
        <f>Homicidios!N65</f>
        <v>5.0175746924428823</v>
      </c>
      <c r="F28" s="18">
        <f t="shared" si="11"/>
        <v>0.93309900410076163</v>
      </c>
      <c r="G28" s="44">
        <f>tabla_mortalidad_mujer_2010!G3</f>
        <v>98681.622979578897</v>
      </c>
      <c r="H28" s="45">
        <f>tabla_mortalidad_mujer_2010!F3</f>
        <v>0.99776699860970797</v>
      </c>
      <c r="I28" s="21">
        <f t="shared" si="12"/>
        <v>2.2330013902920332E-3</v>
      </c>
      <c r="J28" s="46">
        <f>tabla_mortalidad_mujer_2010!D3</f>
        <v>1.5017441191900001</v>
      </c>
      <c r="K28" s="47">
        <f>tabla_mortalidad_mujer_2010!K3</f>
        <v>75.080448534842503</v>
      </c>
      <c r="L28" s="21">
        <f t="shared" si="13"/>
        <v>0.99791623286745623</v>
      </c>
      <c r="M28" s="24">
        <f t="shared" si="14"/>
        <v>2.0837671325437679E-3</v>
      </c>
      <c r="N28" s="25">
        <f t="shared" ref="N28:N45" si="20">N27*L27</f>
        <v>98688.244115132111</v>
      </c>
      <c r="O28" s="26">
        <f t="shared" si="15"/>
        <v>205.64331945556822</v>
      </c>
      <c r="P28" s="26">
        <f>C28+(F28*(I28/M28)*(J28-C28))</f>
        <v>1.5019308608359907</v>
      </c>
      <c r="Q28" s="25">
        <f t="shared" si="16"/>
        <v>394239.26523052121</v>
      </c>
      <c r="R28" s="25">
        <f t="shared" si="17"/>
        <v>7559395.5975621445</v>
      </c>
      <c r="S28" s="18">
        <f t="shared" si="18"/>
        <v>76.598744514525649</v>
      </c>
      <c r="T28" s="28">
        <f t="shared" si="19"/>
        <v>1.5182959796831454</v>
      </c>
      <c r="U28" s="51"/>
      <c r="V28" s="56" t="s">
        <v>88</v>
      </c>
      <c r="W28" s="57"/>
      <c r="Z28" s="49" t="s">
        <v>89</v>
      </c>
      <c r="AA28" s="50">
        <f>K4</f>
        <v>62.494616898887898</v>
      </c>
      <c r="AB28" s="50">
        <f>K27</f>
        <v>75.078612704422099</v>
      </c>
    </row>
    <row r="29" spans="2:28">
      <c r="B29" s="15">
        <v>5</v>
      </c>
      <c r="C29" s="16">
        <v>5</v>
      </c>
      <c r="D29" s="43">
        <f>'Defunciones generales'!D61</f>
        <v>41</v>
      </c>
      <c r="E29" s="43">
        <f>Homicidios!N66</f>
        <v>6.021089630931459</v>
      </c>
      <c r="F29" s="18">
        <f t="shared" si="11"/>
        <v>0.85314415534313526</v>
      </c>
      <c r="G29" s="44">
        <f>tabla_mortalidad_mujer_2010!G4</f>
        <v>98461.266778269201</v>
      </c>
      <c r="H29" s="45">
        <f>tabla_mortalidad_mujer_2010!F4</f>
        <v>0.99879229971062999</v>
      </c>
      <c r="I29" s="21">
        <f t="shared" si="12"/>
        <v>1.2077002893700062E-3</v>
      </c>
      <c r="J29" s="46">
        <f>tabla_mortalidad_mujer_2010!D4</f>
        <v>2.5</v>
      </c>
      <c r="K29" s="47">
        <f>tabla_mortalidad_mujer_2010!K4</f>
        <v>71.245117590328405</v>
      </c>
      <c r="L29" s="21">
        <f t="shared" si="13"/>
        <v>0.99896956614484811</v>
      </c>
      <c r="M29" s="24">
        <f t="shared" si="14"/>
        <v>1.030433855151891E-3</v>
      </c>
      <c r="N29" s="25">
        <f t="shared" si="20"/>
        <v>98482.600795676539</v>
      </c>
      <c r="O29" s="26">
        <f t="shared" si="15"/>
        <v>101.47980600327367</v>
      </c>
      <c r="P29" s="26">
        <f>C29+(F29*(I29/M29)*(J29-C29))</f>
        <v>2.5002217800521596</v>
      </c>
      <c r="Q29" s="25">
        <f t="shared" si="16"/>
        <v>492159.32696957112</v>
      </c>
      <c r="R29" s="25">
        <f t="shared" si="17"/>
        <v>7165156.332331623</v>
      </c>
      <c r="S29" s="18">
        <f t="shared" si="18"/>
        <v>72.755555544245723</v>
      </c>
      <c r="T29" s="28">
        <f t="shared" si="19"/>
        <v>1.5104379539173181</v>
      </c>
      <c r="U29" s="51"/>
      <c r="V29" s="58"/>
      <c r="W29" s="59"/>
      <c r="AA29" s="52">
        <f>AA27-AA28</f>
        <v>8.1814515579211076</v>
      </c>
      <c r="AB29" s="52">
        <f>AB27-AB28</f>
        <v>1.503411448813452</v>
      </c>
    </row>
    <row r="30" spans="2:28">
      <c r="B30" s="15">
        <v>10</v>
      </c>
      <c r="C30" s="16">
        <v>5</v>
      </c>
      <c r="D30" s="43">
        <f>'Defunciones generales'!D62</f>
        <v>57</v>
      </c>
      <c r="E30" s="43">
        <f>Homicidios!N67</f>
        <v>16.056239015817223</v>
      </c>
      <c r="F30" s="18">
        <f t="shared" si="11"/>
        <v>0.71831159621373286</v>
      </c>
      <c r="G30" s="44">
        <f>tabla_mortalidad_mujer_2010!G5</f>
        <v>98342.355077889399</v>
      </c>
      <c r="H30" s="45">
        <f>tabla_mortalidad_mujer_2010!F5</f>
        <v>0.99827307242807695</v>
      </c>
      <c r="I30" s="21">
        <f t="shared" si="12"/>
        <v>1.7269275719230537E-3</v>
      </c>
      <c r="J30" s="46">
        <f>tabla_mortalidad_mujer_2010!D5</f>
        <v>2.5</v>
      </c>
      <c r="K30" s="47">
        <f>tabla_mortalidad_mujer_2010!K5</f>
        <v>66.328241477477604</v>
      </c>
      <c r="L30" s="21">
        <f t="shared" si="13"/>
        <v>0.99875922595922151</v>
      </c>
      <c r="M30" s="24">
        <f t="shared" si="14"/>
        <v>1.2407740407784917E-3</v>
      </c>
      <c r="N30" s="25">
        <f t="shared" si="20"/>
        <v>98381.120989673262</v>
      </c>
      <c r="O30" s="26">
        <f t="shared" si="15"/>
        <v>122.06874102667459</v>
      </c>
      <c r="P30" s="21">
        <f>(((-5/24)*O29)+((2.5)*O30)+((5/24)*O31))/O30</f>
        <v>2.9513772865110401</v>
      </c>
      <c r="Q30" s="25">
        <f t="shared" si="16"/>
        <v>491655.53215289209</v>
      </c>
      <c r="R30" s="25">
        <f t="shared" si="17"/>
        <v>6672997.0053620515</v>
      </c>
      <c r="S30" s="18">
        <f t="shared" si="18"/>
        <v>67.828023692294522</v>
      </c>
      <c r="T30" s="28">
        <f t="shared" si="19"/>
        <v>1.4997822148169178</v>
      </c>
      <c r="U30" s="51"/>
      <c r="V30" s="60"/>
      <c r="W30" s="61"/>
    </row>
    <row r="31" spans="2:28">
      <c r="B31" s="15">
        <v>15</v>
      </c>
      <c r="C31" s="16">
        <v>5</v>
      </c>
      <c r="D31" s="43">
        <f>'Defunciones generales'!D63</f>
        <v>192</v>
      </c>
      <c r="E31" s="43">
        <f>Homicidios!N68</f>
        <v>69.242530755711769</v>
      </c>
      <c r="F31" s="18">
        <f t="shared" si="11"/>
        <v>0.63936181898066791</v>
      </c>
      <c r="G31" s="44">
        <f>tabla_mortalidad_mujer_2010!G6</f>
        <v>98172.524953417596</v>
      </c>
      <c r="H31" s="45">
        <f>tabla_mortalidad_mujer_2010!F6</f>
        <v>0.99418095007496698</v>
      </c>
      <c r="I31" s="21">
        <f t="shared" si="12"/>
        <v>5.8190499250330152E-3</v>
      </c>
      <c r="J31" s="46">
        <f>tabla_mortalidad_mujer_2010!D6</f>
        <v>2.5</v>
      </c>
      <c r="K31" s="47">
        <f>tabla_mortalidad_mujer_2010!K6</f>
        <v>61.438658910461797</v>
      </c>
      <c r="L31" s="21">
        <f t="shared" si="13"/>
        <v>0.99627560747155464</v>
      </c>
      <c r="M31" s="24">
        <f t="shared" si="14"/>
        <v>3.7243925284453638E-3</v>
      </c>
      <c r="N31" s="25">
        <f t="shared" si="20"/>
        <v>98259.052248646592</v>
      </c>
      <c r="O31" s="26">
        <f t="shared" si="15"/>
        <v>365.95528004698201</v>
      </c>
      <c r="P31" s="21">
        <f>(((-5/24)*O30)+((2.5)*O31)+((5/24)*O32))/O31</f>
        <v>2.639286788573203</v>
      </c>
      <c r="Q31" s="25">
        <f t="shared" si="16"/>
        <v>490431.34577883466</v>
      </c>
      <c r="R31" s="25">
        <f t="shared" si="17"/>
        <v>6181341.4732091594</v>
      </c>
      <c r="S31" s="18">
        <f t="shared" si="18"/>
        <v>62.908620953997655</v>
      </c>
      <c r="T31" s="28">
        <f t="shared" si="19"/>
        <v>1.4699620435358582</v>
      </c>
      <c r="U31" s="42"/>
      <c r="V31" s="29" t="s">
        <v>81</v>
      </c>
      <c r="W31" s="29" t="s">
        <v>82</v>
      </c>
    </row>
    <row r="32" spans="2:28">
      <c r="B32" s="15">
        <v>20</v>
      </c>
      <c r="C32" s="16">
        <v>5</v>
      </c>
      <c r="D32" s="43">
        <f>'Defunciones generales'!D64</f>
        <v>207</v>
      </c>
      <c r="E32" s="43">
        <f>Homicidios!N69</f>
        <v>96.337434094903344</v>
      </c>
      <c r="F32" s="18">
        <f t="shared" si="11"/>
        <v>0.5346017676574718</v>
      </c>
      <c r="G32" s="44">
        <f>tabla_mortalidad_mujer_2010!G7</f>
        <v>97601.254129447101</v>
      </c>
      <c r="H32" s="45">
        <f>tabla_mortalidad_mujer_2010!F7</f>
        <v>0.99300376456737205</v>
      </c>
      <c r="I32" s="21">
        <f t="shared" si="12"/>
        <v>6.9962354326279508E-3</v>
      </c>
      <c r="J32" s="46">
        <f>tabla_mortalidad_mujer_2010!D7</f>
        <v>2.5</v>
      </c>
      <c r="K32" s="47">
        <f>tabla_mortalidad_mujer_2010!K7</f>
        <v>56.783633332561301</v>
      </c>
      <c r="L32" s="21">
        <f t="shared" si="13"/>
        <v>0.9962536901596214</v>
      </c>
      <c r="M32" s="24">
        <f t="shared" si="14"/>
        <v>3.7463098403786033E-3</v>
      </c>
      <c r="N32" s="25">
        <f t="shared" si="20"/>
        <v>97893.09696859961</v>
      </c>
      <c r="O32" s="26">
        <f t="shared" si="15"/>
        <v>366.73787247860156</v>
      </c>
      <c r="P32" s="21">
        <f>(((-5/24)*O31)+((2.5)*O32)+((5/24)*O33))/O32</f>
        <v>2.5058950948526157</v>
      </c>
      <c r="Q32" s="25">
        <f t="shared" si="16"/>
        <v>488550.80211634591</v>
      </c>
      <c r="R32" s="25">
        <f t="shared" si="17"/>
        <v>5690910.1274303244</v>
      </c>
      <c r="S32" s="18">
        <f t="shared" si="18"/>
        <v>58.133926739040163</v>
      </c>
      <c r="T32" s="28">
        <f t="shared" si="19"/>
        <v>1.3502934064788619</v>
      </c>
      <c r="U32" s="53"/>
      <c r="V32" s="30">
        <f>([2]TV!M29-[2]TV!M47)/[2]TV!J29</f>
        <v>73.32569985958979</v>
      </c>
      <c r="W32" s="30">
        <f>(R27-R45)/N27</f>
        <v>74.125437754458659</v>
      </c>
    </row>
    <row r="33" spans="2:23">
      <c r="B33" s="15">
        <v>25</v>
      </c>
      <c r="C33" s="16">
        <v>5</v>
      </c>
      <c r="D33" s="43">
        <f>'Defunciones generales'!D65</f>
        <v>204</v>
      </c>
      <c r="E33" s="43">
        <f>Homicidios!N70</f>
        <v>101.35500878734622</v>
      </c>
      <c r="F33" s="18">
        <f t="shared" si="11"/>
        <v>0.50316172163065576</v>
      </c>
      <c r="G33" s="44">
        <f>tabla_mortalidad_mujer_2010!G8</f>
        <v>96918.412777037694</v>
      </c>
      <c r="H33" s="45">
        <f>tabla_mortalidad_mujer_2010!F8</f>
        <v>0.99234554786927498</v>
      </c>
      <c r="I33" s="21">
        <f t="shared" si="12"/>
        <v>7.6544521307250202E-3</v>
      </c>
      <c r="J33" s="46">
        <f>tabla_mortalidad_mujer_2010!D8</f>
        <v>2.5</v>
      </c>
      <c r="K33" s="47">
        <f>tabla_mortalidad_mujer_2010!K8</f>
        <v>52.166090169568903</v>
      </c>
      <c r="L33" s="21">
        <f t="shared" si="13"/>
        <v>0.99614122104682745</v>
      </c>
      <c r="M33" s="24">
        <f t="shared" si="14"/>
        <v>3.858778953172548E-3</v>
      </c>
      <c r="N33" s="25">
        <f t="shared" si="20"/>
        <v>97526.359096121014</v>
      </c>
      <c r="O33" s="26">
        <f t="shared" si="15"/>
        <v>376.33266185965988</v>
      </c>
      <c r="P33" s="21">
        <f>(((-5/24)*O32)+((2.5)*O33)+((5/24)*O34))/O33</f>
        <v>2.5907048900033103</v>
      </c>
      <c r="Q33" s="25">
        <f t="shared" si="16"/>
        <v>486725.09903865453</v>
      </c>
      <c r="R33" s="25">
        <f t="shared" si="17"/>
        <v>5202359.3253139788</v>
      </c>
      <c r="S33" s="18">
        <f t="shared" si="18"/>
        <v>53.343110247626335</v>
      </c>
      <c r="T33" s="28">
        <f t="shared" si="19"/>
        <v>1.1770200780574314</v>
      </c>
      <c r="V33" s="31" t="s">
        <v>83</v>
      </c>
      <c r="W33" s="30">
        <f>W32-V32</f>
        <v>0.79973789486886915</v>
      </c>
    </row>
    <row r="34" spans="2:23">
      <c r="B34" s="15">
        <v>30</v>
      </c>
      <c r="C34" s="16">
        <v>5</v>
      </c>
      <c r="D34" s="43">
        <f>'Defunciones generales'!D66</f>
        <v>237</v>
      </c>
      <c r="E34" s="43">
        <f>Homicidios!N71</f>
        <v>93.326889279437609</v>
      </c>
      <c r="F34" s="18">
        <f t="shared" si="11"/>
        <v>0.60621565704878644</v>
      </c>
      <c r="G34" s="44">
        <f>tabla_mortalidad_mujer_2010!G9</f>
        <v>96176.555425850005</v>
      </c>
      <c r="H34" s="45">
        <f>tabla_mortalidad_mujer_2010!F9</f>
        <v>0.99100678660297403</v>
      </c>
      <c r="I34" s="21">
        <f t="shared" si="12"/>
        <v>8.9932133970259676E-3</v>
      </c>
      <c r="J34" s="46">
        <f>tabla_mortalidad_mujer_2010!D9</f>
        <v>2.5</v>
      </c>
      <c r="K34" s="47">
        <f>tabla_mortalidad_mujer_2010!K9</f>
        <v>47.549189293195298</v>
      </c>
      <c r="L34" s="21">
        <f t="shared" si="13"/>
        <v>0.99453847916561222</v>
      </c>
      <c r="M34" s="24">
        <f t="shared" si="14"/>
        <v>5.4615208343877786E-3</v>
      </c>
      <c r="N34" s="25">
        <f t="shared" si="20"/>
        <v>97150.026434261352</v>
      </c>
      <c r="O34" s="26">
        <f t="shared" si="15"/>
        <v>530.58689343204185</v>
      </c>
      <c r="P34" s="21">
        <f t="shared" ref="P34:P42" si="21">(((-5/24)*O33)+((2.5)*O34)+((5/24)*O35))/O34</f>
        <v>2.5904326129580473</v>
      </c>
      <c r="Q34" s="25">
        <f t="shared" si="16"/>
        <v>484471.64729690098</v>
      </c>
      <c r="R34" s="25">
        <f t="shared" si="17"/>
        <v>4715634.2262753239</v>
      </c>
      <c r="S34" s="18">
        <f t="shared" si="18"/>
        <v>48.539711200863735</v>
      </c>
      <c r="T34" s="28">
        <f t="shared" si="19"/>
        <v>0.99052190766843751</v>
      </c>
    </row>
    <row r="35" spans="2:23">
      <c r="B35" s="15">
        <v>35</v>
      </c>
      <c r="C35" s="16">
        <v>5</v>
      </c>
      <c r="D35" s="43">
        <f>'Defunciones generales'!D67</f>
        <v>222</v>
      </c>
      <c r="E35" s="43">
        <f>Homicidios!N72</f>
        <v>51.1792618629174</v>
      </c>
      <c r="F35" s="18">
        <f t="shared" si="11"/>
        <v>0.76946278440127303</v>
      </c>
      <c r="G35" s="44">
        <f>tabla_mortalidad_mujer_2010!G10</f>
        <v>95311.619139114497</v>
      </c>
      <c r="H35" s="45">
        <f>tabla_mortalidad_mujer_2010!F10</f>
        <v>0.991847790262113</v>
      </c>
      <c r="I35" s="21">
        <f t="shared" si="12"/>
        <v>8.1522097378869951E-3</v>
      </c>
      <c r="J35" s="46">
        <f>tabla_mortalidad_mujer_2010!D10</f>
        <v>2.5</v>
      </c>
      <c r="K35" s="47">
        <f>tabla_mortalidad_mujer_2010!K10</f>
        <v>42.958002813096002</v>
      </c>
      <c r="L35" s="21">
        <f t="shared" si="13"/>
        <v>0.99372126366309343</v>
      </c>
      <c r="M35" s="24">
        <f t="shared" si="14"/>
        <v>6.2787363369065652E-3</v>
      </c>
      <c r="N35" s="25">
        <f t="shared" si="20"/>
        <v>96619.439540829306</v>
      </c>
      <c r="O35" s="26">
        <f t="shared" si="15"/>
        <v>606.64798589655197</v>
      </c>
      <c r="P35" s="21">
        <f t="shared" si="21"/>
        <v>2.6207200700634932</v>
      </c>
      <c r="Q35" s="25">
        <f t="shared" si="16"/>
        <v>481653.81232676649</v>
      </c>
      <c r="R35" s="25">
        <f t="shared" si="17"/>
        <v>4231162.578978423</v>
      </c>
      <c r="S35" s="18">
        <f t="shared" si="18"/>
        <v>43.792042254503293</v>
      </c>
      <c r="T35" s="28">
        <f t="shared" si="19"/>
        <v>0.8340394414072918</v>
      </c>
    </row>
    <row r="36" spans="2:23">
      <c r="B36" s="15">
        <v>40</v>
      </c>
      <c r="C36" s="16">
        <v>5</v>
      </c>
      <c r="D36" s="43">
        <f>'Defunciones generales'!D68</f>
        <v>261</v>
      </c>
      <c r="E36" s="43">
        <f>Homicidios!N73</f>
        <v>46.161687170474515</v>
      </c>
      <c r="F36" s="18">
        <f t="shared" si="11"/>
        <v>0.8231352981974156</v>
      </c>
      <c r="G36" s="44">
        <f>tabla_mortalidad_mujer_2010!G11</f>
        <v>94534.618829434694</v>
      </c>
      <c r="H36" s="45">
        <f>tabla_mortalidad_mujer_2010!F11</f>
        <v>0.98884951024866696</v>
      </c>
      <c r="I36" s="21">
        <f t="shared" si="12"/>
        <v>1.1150489751333037E-2</v>
      </c>
      <c r="J36" s="46">
        <f>tabla_mortalidad_mujer_2010!D11</f>
        <v>2.5</v>
      </c>
      <c r="K36" s="47">
        <f>tabla_mortalidad_mujer_2010!K11</f>
        <v>38.290535816392101</v>
      </c>
      <c r="L36" s="21">
        <f t="shared" si="13"/>
        <v>0.99081254801073426</v>
      </c>
      <c r="M36" s="24">
        <f t="shared" si="14"/>
        <v>9.187451989265738E-3</v>
      </c>
      <c r="N36" s="25">
        <f t="shared" si="20"/>
        <v>96012.791554932759</v>
      </c>
      <c r="O36" s="26">
        <f t="shared" si="15"/>
        <v>882.11291276632357</v>
      </c>
      <c r="P36" s="21">
        <f t="shared" si="21"/>
        <v>2.6927749835223915</v>
      </c>
      <c r="Q36" s="25">
        <f t="shared" si="16"/>
        <v>478028.72479497135</v>
      </c>
      <c r="R36" s="25">
        <f t="shared" si="17"/>
        <v>3749508.7666516565</v>
      </c>
      <c r="S36" s="18">
        <f t="shared" si="18"/>
        <v>39.052179464091644</v>
      </c>
      <c r="T36" s="28">
        <f t="shared" si="19"/>
        <v>0.76164364769954318</v>
      </c>
    </row>
    <row r="37" spans="2:23">
      <c r="B37" s="15">
        <v>45</v>
      </c>
      <c r="C37" s="16">
        <v>5</v>
      </c>
      <c r="D37" s="43">
        <f>'Defunciones generales'!D69</f>
        <v>327</v>
      </c>
      <c r="E37" s="43">
        <f>Homicidios!N74</f>
        <v>35.123022847100174</v>
      </c>
      <c r="F37" s="18">
        <f t="shared" si="11"/>
        <v>0.89259014419847038</v>
      </c>
      <c r="G37" s="44">
        <f>tabla_mortalidad_mujer_2010!G12</f>
        <v>93480.511531030905</v>
      </c>
      <c r="H37" s="45">
        <f>tabla_mortalidad_mujer_2010!F12</f>
        <v>0.98325811835183097</v>
      </c>
      <c r="I37" s="21">
        <f t="shared" si="12"/>
        <v>1.6741881648169032E-2</v>
      </c>
      <c r="J37" s="46">
        <f>tabla_mortalidad_mujer_2010!D12</f>
        <v>2.5</v>
      </c>
      <c r="K37" s="47">
        <f>tabla_mortalidad_mujer_2010!K12</f>
        <v>33.694117957738399</v>
      </c>
      <c r="L37" s="21">
        <f t="shared" si="13"/>
        <v>0.98504284152201704</v>
      </c>
      <c r="M37" s="24">
        <f t="shared" si="14"/>
        <v>1.4957158477982957E-2</v>
      </c>
      <c r="N37" s="25">
        <f t="shared" si="20"/>
        <v>95130.678642166429</v>
      </c>
      <c r="O37" s="26">
        <f t="shared" si="15"/>
        <v>1422.8846365689519</v>
      </c>
      <c r="P37" s="21">
        <f t="shared" si="21"/>
        <v>2.6985261057556147</v>
      </c>
      <c r="Q37" s="25">
        <f t="shared" si="16"/>
        <v>472378.66136524727</v>
      </c>
      <c r="R37" s="25">
        <f t="shared" si="17"/>
        <v>3271480.0418566852</v>
      </c>
      <c r="S37" s="18">
        <f t="shared" si="18"/>
        <v>34.389327276454537</v>
      </c>
      <c r="T37" s="28">
        <f t="shared" si="19"/>
        <v>0.69520931871613811</v>
      </c>
    </row>
    <row r="38" spans="2:23">
      <c r="B38" s="15">
        <v>50</v>
      </c>
      <c r="C38" s="16">
        <v>5</v>
      </c>
      <c r="D38" s="43">
        <f>'Defunciones generales'!D70</f>
        <v>405</v>
      </c>
      <c r="E38" s="43">
        <f>Homicidios!N75</f>
        <v>20.070298769771529</v>
      </c>
      <c r="F38" s="18">
        <f t="shared" si="11"/>
        <v>0.95044370674130496</v>
      </c>
      <c r="G38" s="44">
        <f>tabla_mortalidad_mujer_2010!G13</f>
        <v>91915.471870568101</v>
      </c>
      <c r="H38" s="45">
        <f>tabla_mortalidad_mujer_2010!F13</f>
        <v>0.97488758618940197</v>
      </c>
      <c r="I38" s="21">
        <f t="shared" si="12"/>
        <v>2.5112413810598033E-2</v>
      </c>
      <c r="J38" s="46">
        <f>tabla_mortalidad_mujer_2010!D13</f>
        <v>2.5</v>
      </c>
      <c r="K38" s="47">
        <f>tabla_mortalidad_mujer_2010!K13</f>
        <v>29.2252584804761</v>
      </c>
      <c r="L38" s="21">
        <f t="shared" si="13"/>
        <v>0.97611708058507096</v>
      </c>
      <c r="M38" s="24">
        <f t="shared" si="14"/>
        <v>2.3882919414929038E-2</v>
      </c>
      <c r="N38" s="25">
        <f t="shared" si="20"/>
        <v>93707.794005597476</v>
      </c>
      <c r="O38" s="26">
        <f t="shared" si="15"/>
        <v>2238.015692786455</v>
      </c>
      <c r="P38" s="21">
        <f t="shared" si="21"/>
        <v>2.7144793743864777</v>
      </c>
      <c r="Q38" s="25">
        <f t="shared" si="16"/>
        <v>463423.93900167721</v>
      </c>
      <c r="R38" s="25">
        <f t="shared" si="17"/>
        <v>2799101.3804914379</v>
      </c>
      <c r="S38" s="18">
        <f t="shared" si="18"/>
        <v>29.870529022636454</v>
      </c>
      <c r="T38" s="28">
        <f t="shared" si="19"/>
        <v>0.64527054216035395</v>
      </c>
    </row>
    <row r="39" spans="2:23">
      <c r="B39" s="15">
        <v>55</v>
      </c>
      <c r="C39" s="16">
        <v>5</v>
      </c>
      <c r="D39" s="43">
        <f>'Defunciones generales'!D71</f>
        <v>493</v>
      </c>
      <c r="E39" s="43">
        <f>Homicidios!N76</f>
        <v>9.031634446397188</v>
      </c>
      <c r="F39" s="18">
        <f t="shared" si="11"/>
        <v>0.98168025467262243</v>
      </c>
      <c r="G39" s="44">
        <f>tabla_mortalidad_mujer_2010!G14</f>
        <v>89607.252505358003</v>
      </c>
      <c r="H39" s="45">
        <f>tabla_mortalidad_mujer_2010!F14</f>
        <v>0.95851076114754297</v>
      </c>
      <c r="I39" s="21">
        <f t="shared" si="12"/>
        <v>4.1489238852457033E-2</v>
      </c>
      <c r="J39" s="46">
        <f>tabla_mortalidad_mujer_2010!D14</f>
        <v>2.5</v>
      </c>
      <c r="K39" s="47">
        <f>tabla_mortalidad_mujer_2010!K14</f>
        <v>24.9136822122627</v>
      </c>
      <c r="L39" s="21">
        <f t="shared" si="13"/>
        <v>0.95925513221457581</v>
      </c>
      <c r="M39" s="24">
        <f t="shared" si="14"/>
        <v>4.0744867785424188E-2</v>
      </c>
      <c r="N39" s="25">
        <f t="shared" si="20"/>
        <v>91469.778312811017</v>
      </c>
      <c r="O39" s="26">
        <f t="shared" si="15"/>
        <v>3726.9240237175454</v>
      </c>
      <c r="P39" s="21">
        <f t="shared" si="21"/>
        <v>2.6867211118235548</v>
      </c>
      <c r="Q39" s="25">
        <f t="shared" si="16"/>
        <v>448727.47690215171</v>
      </c>
      <c r="R39" s="25">
        <f t="shared" si="17"/>
        <v>2335677.4414897608</v>
      </c>
      <c r="S39" s="18">
        <f t="shared" si="18"/>
        <v>25.534963400721743</v>
      </c>
      <c r="T39" s="28">
        <f t="shared" si="19"/>
        <v>0.62128118845904368</v>
      </c>
    </row>
    <row r="40" spans="2:23">
      <c r="B40" s="15">
        <v>60</v>
      </c>
      <c r="C40" s="16">
        <v>5</v>
      </c>
      <c r="D40" s="43">
        <f>'Defunciones generales'!D72</f>
        <v>645</v>
      </c>
      <c r="E40" s="43">
        <f>Homicidios!N77</f>
        <v>7.0246045694200347</v>
      </c>
      <c r="F40" s="18">
        <f t="shared" si="11"/>
        <v>0.98910914020244955</v>
      </c>
      <c r="G40" s="44">
        <f>tabla_mortalidad_mujer_2010!G15</f>
        <v>85889.515803250804</v>
      </c>
      <c r="H40" s="45">
        <f>tabla_mortalidad_mujer_2010!F15</f>
        <v>0.935747263726875</v>
      </c>
      <c r="I40" s="21">
        <f t="shared" si="12"/>
        <v>6.4252736273125E-2</v>
      </c>
      <c r="J40" s="46">
        <f>tabla_mortalidad_mujer_2010!D15</f>
        <v>2.5</v>
      </c>
      <c r="K40" s="47">
        <f>tabla_mortalidad_mujer_2010!K15</f>
        <v>20.8838607982123</v>
      </c>
      <c r="L40" s="21">
        <f t="shared" si="13"/>
        <v>0.93642429750596767</v>
      </c>
      <c r="M40" s="24">
        <f t="shared" si="14"/>
        <v>6.3575702494032327E-2</v>
      </c>
      <c r="N40" s="25">
        <f t="shared" si="20"/>
        <v>87742.854289093477</v>
      </c>
      <c r="O40" s="26">
        <f t="shared" si="15"/>
        <v>5578.3136002606352</v>
      </c>
      <c r="P40" s="21">
        <f t="shared" si="21"/>
        <v>2.6572376655572896</v>
      </c>
      <c r="Q40" s="25">
        <f t="shared" si="16"/>
        <v>425645.60845306731</v>
      </c>
      <c r="R40" s="25">
        <f t="shared" si="17"/>
        <v>1886949.9645876093</v>
      </c>
      <c r="S40" s="18">
        <f t="shared" si="18"/>
        <v>21.505454545284369</v>
      </c>
      <c r="T40" s="28">
        <f t="shared" si="19"/>
        <v>0.62159374707206894</v>
      </c>
    </row>
    <row r="41" spans="2:23">
      <c r="B41" s="15">
        <v>65</v>
      </c>
      <c r="C41" s="16">
        <v>5</v>
      </c>
      <c r="D41" s="43">
        <f>'Defunciones generales'!D73</f>
        <v>762</v>
      </c>
      <c r="E41" s="43">
        <f>Homicidios!N78</f>
        <v>7.0246045694200347</v>
      </c>
      <c r="F41" s="18">
        <f t="shared" si="11"/>
        <v>0.99078135883278207</v>
      </c>
      <c r="G41" s="44">
        <f>tabla_mortalidad_mujer_2010!G16</f>
        <v>80370.879395718104</v>
      </c>
      <c r="H41" s="45">
        <f>tabla_mortalidad_mujer_2010!F16</f>
        <v>0.90254635329451505</v>
      </c>
      <c r="I41" s="21">
        <f t="shared" si="12"/>
        <v>9.7453646705484953E-2</v>
      </c>
      <c r="J41" s="46">
        <f>tabla_mortalidad_mujer_2010!D16</f>
        <v>2.5</v>
      </c>
      <c r="K41" s="47">
        <f>tabla_mortalidad_mujer_2010!K16</f>
        <v>17.146181731799501</v>
      </c>
      <c r="L41" s="21">
        <f t="shared" si="13"/>
        <v>0.90339987545986111</v>
      </c>
      <c r="M41" s="24">
        <f t="shared" si="14"/>
        <v>9.6600124540138887E-2</v>
      </c>
      <c r="N41" s="25">
        <f t="shared" si="20"/>
        <v>82164.540688832843</v>
      </c>
      <c r="O41" s="26">
        <f t="shared" si="15"/>
        <v>7937.1048633245618</v>
      </c>
      <c r="P41" s="21">
        <f t="shared" si="21"/>
        <v>2.6475987379313191</v>
      </c>
      <c r="Q41" s="25">
        <f t="shared" si="16"/>
        <v>392151.44794650801</v>
      </c>
      <c r="R41" s="25">
        <f t="shared" si="17"/>
        <v>1461304.356134542</v>
      </c>
      <c r="S41" s="18">
        <f t="shared" si="18"/>
        <v>17.785097365403406</v>
      </c>
      <c r="T41" s="28">
        <f t="shared" si="19"/>
        <v>0.63891563360390435</v>
      </c>
    </row>
    <row r="42" spans="2:23">
      <c r="B42" s="15">
        <v>70</v>
      </c>
      <c r="C42" s="16">
        <v>5</v>
      </c>
      <c r="D42" s="43">
        <f>'Defunciones generales'!D74</f>
        <v>952</v>
      </c>
      <c r="E42" s="43">
        <f>Homicidios!N79</f>
        <v>3.0105448154657295</v>
      </c>
      <c r="F42" s="18">
        <f t="shared" si="11"/>
        <v>0.99683766300896448</v>
      </c>
      <c r="G42" s="44">
        <f>tabla_mortalidad_mujer_2010!G17</f>
        <v>72538.444109678705</v>
      </c>
      <c r="H42" s="45">
        <f>tabla_mortalidad_mujer_2010!F17</f>
        <v>0.84865104095298605</v>
      </c>
      <c r="I42" s="21">
        <f t="shared" si="12"/>
        <v>0.15134895904701395</v>
      </c>
      <c r="J42" s="46">
        <f>tabla_mortalidad_mujer_2010!D17</f>
        <v>2.5</v>
      </c>
      <c r="K42" s="47">
        <f>tabla_mortalidad_mujer_2010!K17</f>
        <v>13.7276227457319</v>
      </c>
      <c r="L42" s="21">
        <f t="shared" si="13"/>
        <v>0.84909157312482064</v>
      </c>
      <c r="M42" s="24">
        <f t="shared" si="14"/>
        <v>0.15090842687517936</v>
      </c>
      <c r="N42" s="25">
        <f t="shared" si="20"/>
        <v>74227.435825508277</v>
      </c>
      <c r="O42" s="26">
        <f t="shared" si="15"/>
        <v>11201.545571405784</v>
      </c>
      <c r="P42" s="21">
        <f t="shared" si="21"/>
        <v>2.6264288089195209</v>
      </c>
      <c r="Q42" s="25">
        <f t="shared" si="16"/>
        <v>344549.51326367748</v>
      </c>
      <c r="R42" s="25">
        <f t="shared" si="17"/>
        <v>1069152.9081880341</v>
      </c>
      <c r="S42" s="18">
        <f t="shared" si="18"/>
        <v>14.403742986641328</v>
      </c>
      <c r="T42" s="28">
        <f t="shared" si="19"/>
        <v>0.67612024090942846</v>
      </c>
    </row>
    <row r="43" spans="2:23">
      <c r="B43" s="15">
        <v>75</v>
      </c>
      <c r="C43" s="16">
        <v>5</v>
      </c>
      <c r="D43" s="43">
        <f>'Defunciones generales'!D75</f>
        <v>978</v>
      </c>
      <c r="E43" s="43">
        <f>Homicidios!N80</f>
        <v>2.0070298769771528</v>
      </c>
      <c r="F43" s="18">
        <f t="shared" si="11"/>
        <v>0.99794782221167977</v>
      </c>
      <c r="G43" s="44">
        <f>tabla_mortalidad_mujer_2010!G18</f>
        <v>61559.8261027888</v>
      </c>
      <c r="H43" s="45">
        <f>tabla_mortalidad_mujer_2010!F18</f>
        <v>0.765790006006004</v>
      </c>
      <c r="I43" s="21">
        <f t="shared" si="12"/>
        <v>0.234209993993996</v>
      </c>
      <c r="J43" s="46">
        <f>tabla_mortalidad_mujer_2010!D18</f>
        <v>2.5</v>
      </c>
      <c r="K43" s="47">
        <f>tabla_mortalidad_mujer_2010!K18</f>
        <v>10.7299640298844</v>
      </c>
      <c r="L43" s="21">
        <f t="shared" si="13"/>
        <v>0.76620948130616562</v>
      </c>
      <c r="M43" s="24">
        <f t="shared" si="14"/>
        <v>0.23379051869383438</v>
      </c>
      <c r="N43" s="25">
        <f t="shared" si="20"/>
        <v>63025.890254102495</v>
      </c>
      <c r="O43" s="26">
        <f t="shared" si="15"/>
        <v>14734.855573647303</v>
      </c>
      <c r="P43" s="21">
        <f>(((-5/24)*O42)+((2.5)*O43)+((5/24)*O44))/O43</f>
        <v>2.5790173127475446</v>
      </c>
      <c r="Q43" s="25">
        <f t="shared" si="16"/>
        <v>279456.62102754699</v>
      </c>
      <c r="R43" s="25">
        <f t="shared" si="17"/>
        <v>724603.3949243566</v>
      </c>
      <c r="S43" s="18">
        <f t="shared" si="18"/>
        <v>11.496916457712242</v>
      </c>
      <c r="T43" s="28">
        <f t="shared" si="19"/>
        <v>0.76695242782784234</v>
      </c>
    </row>
    <row r="44" spans="2:23">
      <c r="B44" s="15">
        <v>80</v>
      </c>
      <c r="C44" s="16">
        <v>5</v>
      </c>
      <c r="D44" s="43">
        <f>'Defunciones generales'!D76</f>
        <v>981</v>
      </c>
      <c r="E44" s="43">
        <f>Homicidios!N81</f>
        <v>1.0035149384885764</v>
      </c>
      <c r="F44" s="18">
        <f t="shared" si="11"/>
        <v>0.99897704899236639</v>
      </c>
      <c r="G44" s="44">
        <f>tabla_mortalidad_mujer_2010!G19</f>
        <v>47141.899600983197</v>
      </c>
      <c r="H44" s="45">
        <f>tabla_mortalidad_mujer_2010!F19</f>
        <v>0.652026394987402</v>
      </c>
      <c r="I44" s="21">
        <f t="shared" si="12"/>
        <v>0.347973605012598</v>
      </c>
      <c r="J44" s="46">
        <f>tabla_mortalidad_mujer_2010!D19</f>
        <v>2.5</v>
      </c>
      <c r="K44" s="47">
        <f>tabla_mortalidad_mujer_2010!K19</f>
        <v>8.2470245959567201</v>
      </c>
      <c r="L44" s="21">
        <f t="shared" si="13"/>
        <v>0.65231170961564289</v>
      </c>
      <c r="M44" s="24">
        <f t="shared" si="14"/>
        <v>0.34768829038435711</v>
      </c>
      <c r="N44" s="25">
        <f t="shared" si="20"/>
        <v>48291.034680455188</v>
      </c>
      <c r="O44" s="26">
        <f t="shared" si="15"/>
        <v>16790.227288939164</v>
      </c>
      <c r="P44" s="26">
        <f>C44+(F44*(I44/M44)*(J44-C44))</f>
        <v>2.5005079644870878</v>
      </c>
      <c r="Q44" s="25">
        <f t="shared" si="16"/>
        <v>199488.13401912095</v>
      </c>
      <c r="R44" s="25">
        <f t="shared" si="17"/>
        <v>445146.77389680967</v>
      </c>
      <c r="S44" s="18">
        <f t="shared" si="18"/>
        <v>9.2180003357222269</v>
      </c>
      <c r="T44" s="28">
        <f t="shared" si="19"/>
        <v>0.97097573976550677</v>
      </c>
    </row>
    <row r="45" spans="2:23">
      <c r="B45" s="32">
        <v>85</v>
      </c>
      <c r="C45" s="33">
        <v>5</v>
      </c>
      <c r="D45" s="43">
        <f>'Defunciones generales'!D77</f>
        <v>1397</v>
      </c>
      <c r="E45" s="43">
        <f>Homicidios!N82</f>
        <v>0</v>
      </c>
      <c r="F45" s="34">
        <f t="shared" si="11"/>
        <v>1</v>
      </c>
      <c r="G45" s="44">
        <f>tabla_mortalidad_mujer_2010!G20</f>
        <v>30737.7628496871</v>
      </c>
      <c r="H45" s="45">
        <f>tabla_mortalidad_mujer_2010!F20</f>
        <v>0</v>
      </c>
      <c r="I45" s="35">
        <f t="shared" si="12"/>
        <v>1</v>
      </c>
      <c r="J45" s="46">
        <f>tabla_mortalidad_mujer_2010!D20</f>
        <v>0</v>
      </c>
      <c r="K45" s="47">
        <f>tabla_mortalidad_mujer_2010!K20</f>
        <v>6.3140980796762998</v>
      </c>
      <c r="L45" s="35">
        <f t="shared" si="13"/>
        <v>0</v>
      </c>
      <c r="M45" s="37">
        <f t="shared" si="14"/>
        <v>1</v>
      </c>
      <c r="N45" s="38">
        <f t="shared" si="20"/>
        <v>31500.807391516024</v>
      </c>
      <c r="O45" s="39">
        <f t="shared" si="15"/>
        <v>31500.807391516024</v>
      </c>
      <c r="P45" s="35">
        <f>K45/F45</f>
        <v>6.3140980796762998</v>
      </c>
      <c r="Q45" s="54">
        <f>N45/[1]LT!E96</f>
        <v>245658.63987768869</v>
      </c>
      <c r="R45" s="38">
        <f>Q45</f>
        <v>245658.63987768869</v>
      </c>
      <c r="S45" s="34">
        <f t="shared" si="18"/>
        <v>7.7984870935038595</v>
      </c>
      <c r="T45" s="40">
        <f t="shared" si="19"/>
        <v>1.4843890138275597</v>
      </c>
    </row>
  </sheetData>
  <mergeCells count="4">
    <mergeCell ref="B2:T2"/>
    <mergeCell ref="V5:W7"/>
    <mergeCell ref="B24:T24"/>
    <mergeCell ref="V28:W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B2:AB45"/>
  <sheetViews>
    <sheetView showGridLines="0" topLeftCell="N1" zoomScaleNormal="60" workbookViewId="0">
      <selection activeCell="S27" sqref="S27"/>
    </sheetView>
  </sheetViews>
  <sheetFormatPr baseColWidth="10" defaultColWidth="14.42578125" defaultRowHeight="15" customHeight="1"/>
  <cols>
    <col min="1" max="1" width="6.85546875" customWidth="1"/>
    <col min="21" max="21" width="3.28515625" customWidth="1"/>
    <col min="22" max="23" width="16.42578125" hidden="1" customWidth="1"/>
  </cols>
  <sheetData>
    <row r="2" spans="2:23" ht="15" customHeight="1">
      <c r="B2" s="55" t="s">
        <v>68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2:23" ht="33" customHeight="1">
      <c r="B3" s="9" t="s">
        <v>69</v>
      </c>
      <c r="C3" s="10" t="s">
        <v>1</v>
      </c>
      <c r="D3" s="10" t="s">
        <v>70</v>
      </c>
      <c r="E3" s="10" t="s">
        <v>71</v>
      </c>
      <c r="F3" s="11"/>
      <c r="G3" s="12"/>
      <c r="H3" s="12"/>
      <c r="I3" s="12" t="s">
        <v>72</v>
      </c>
      <c r="J3" s="12"/>
      <c r="K3" s="13" t="s">
        <v>73</v>
      </c>
      <c r="L3" s="12"/>
      <c r="M3" s="12" t="s">
        <v>74</v>
      </c>
      <c r="N3" s="12"/>
      <c r="O3" s="12" t="s">
        <v>75</v>
      </c>
      <c r="P3" s="12"/>
      <c r="Q3" s="12" t="s">
        <v>76</v>
      </c>
      <c r="R3" s="12" t="s">
        <v>77</v>
      </c>
      <c r="S3" s="13" t="s">
        <v>78</v>
      </c>
      <c r="T3" s="14" t="s">
        <v>79</v>
      </c>
    </row>
    <row r="4" spans="2:23" ht="15" customHeight="1">
      <c r="B4" s="15">
        <v>0</v>
      </c>
      <c r="C4" s="16">
        <v>1</v>
      </c>
      <c r="D4" s="17">
        <f>'Defunciones generales'!D40</f>
        <v>418</v>
      </c>
      <c r="E4" s="17">
        <f>Homicidios!N45</f>
        <v>1.0551917680074836</v>
      </c>
      <c r="F4" s="18">
        <f>(D4-E4)/D4</f>
        <v>0.99747561777988636</v>
      </c>
      <c r="G4" s="19">
        <f>tabla_mortalidad_hombre_2021!G2</f>
        <v>100000</v>
      </c>
      <c r="H4" s="20">
        <f>tabla_mortalidad_hombre_2021!F2</f>
        <v>0.98336740573105796</v>
      </c>
      <c r="I4" s="21">
        <f t="shared" ref="I4:I22" si="0">1-H4</f>
        <v>1.6632594268942036E-2</v>
      </c>
      <c r="J4" s="22">
        <f>tabla_mortalidad_hombre_2021!D2</f>
        <v>9.0327700659999996E-2</v>
      </c>
      <c r="K4" s="23">
        <f>tabla_mortalidad_hombre_2021!K2</f>
        <v>66.491437045186501</v>
      </c>
      <c r="L4" s="21">
        <f>H4^F4</f>
        <v>0.98340904250900785</v>
      </c>
      <c r="M4" s="24">
        <f t="shared" ref="M4:M22" si="1">1-L4</f>
        <v>1.6590957490992153E-2</v>
      </c>
      <c r="N4" s="25">
        <v>100000</v>
      </c>
      <c r="O4" s="26">
        <f t="shared" ref="O4:O22" si="2">N4*M4</f>
        <v>1659.0957490992153</v>
      </c>
      <c r="P4" s="26">
        <f>C4+(F4*(I4/M4)*(J4-C4))</f>
        <v>9.0346904510300363E-2</v>
      </c>
      <c r="Q4" s="25">
        <f t="shared" ref="Q4:Q20" si="3">(C4*N5)+(P4*O4)</f>
        <v>98490.798416118094</v>
      </c>
      <c r="R4" s="25">
        <f t="shared" ref="R4:R21" si="4">R5+Q4</f>
        <v>6965210.5238452172</v>
      </c>
      <c r="S4" s="27">
        <f t="shared" ref="S4:S22" si="5">R4/N4</f>
        <v>69.652105238452165</v>
      </c>
      <c r="T4" s="28">
        <f t="shared" ref="T4:T22" si="6">S4-K4</f>
        <v>3.1606681932656642</v>
      </c>
    </row>
    <row r="5" spans="2:23" ht="15" customHeight="1">
      <c r="B5" s="15">
        <v>1</v>
      </c>
      <c r="C5" s="16">
        <v>4</v>
      </c>
      <c r="D5" s="17">
        <f>'Defunciones generales'!D41</f>
        <v>101</v>
      </c>
      <c r="E5" s="17">
        <f>Homicidios!N46</f>
        <v>2.1103835360149672</v>
      </c>
      <c r="F5" s="18">
        <f t="shared" ref="F5:F22" si="7">(D5-E5)/D5</f>
        <v>0.97910511350480234</v>
      </c>
      <c r="G5" s="19">
        <f>tabla_mortalidad_hombre_2021!G3</f>
        <v>98336.740573105795</v>
      </c>
      <c r="H5" s="20">
        <f>tabla_mortalidad_hombre_2021!F3</f>
        <v>0.99665704901087304</v>
      </c>
      <c r="I5" s="21">
        <f t="shared" si="0"/>
        <v>3.3429509891269582E-3</v>
      </c>
      <c r="J5" s="22">
        <f>tabla_mortalidad_hombre_2021!D3</f>
        <v>1.60344306816</v>
      </c>
      <c r="K5" s="23">
        <f>tabla_mortalidad_hombre_2021!K3</f>
        <v>66.614539869521195</v>
      </c>
      <c r="L5" s="21">
        <f>H5^F5</f>
        <v>0.99672678514810276</v>
      </c>
      <c r="M5" s="24">
        <f t="shared" si="1"/>
        <v>3.2732148518972437E-3</v>
      </c>
      <c r="N5" s="25">
        <f t="shared" ref="N5:N22" si="8">N4*L4</f>
        <v>98340.904250900785</v>
      </c>
      <c r="O5" s="26">
        <f t="shared" si="2"/>
        <v>321.89090834305324</v>
      </c>
      <c r="P5" s="26">
        <f>C5+(F5*(I5/M5)*(J5-C5))</f>
        <v>1.6035268610566202</v>
      </c>
      <c r="Q5" s="25">
        <f t="shared" si="3"/>
        <v>392592.21408808895</v>
      </c>
      <c r="R5" s="25">
        <f t="shared" si="4"/>
        <v>6866719.7254290991</v>
      </c>
      <c r="S5" s="18">
        <f t="shared" si="5"/>
        <v>69.825672010395422</v>
      </c>
      <c r="T5" s="28">
        <f t="shared" si="6"/>
        <v>3.211132140874227</v>
      </c>
      <c r="V5" s="56" t="s">
        <v>80</v>
      </c>
      <c r="W5" s="57"/>
    </row>
    <row r="6" spans="2:23" ht="15" customHeight="1">
      <c r="B6" s="15">
        <v>5</v>
      </c>
      <c r="C6" s="16">
        <v>5</v>
      </c>
      <c r="D6" s="17">
        <f>'Defunciones generales'!D42</f>
        <v>44</v>
      </c>
      <c r="E6" s="17">
        <f>Homicidios!N47</f>
        <v>3.1655753040224508</v>
      </c>
      <c r="F6" s="18">
        <f>(D6-E6)/D6</f>
        <v>0.92805510672676239</v>
      </c>
      <c r="G6" s="19">
        <f>tabla_mortalidad_hombre_2021!G4</f>
        <v>98008.005668939397</v>
      </c>
      <c r="H6" s="20">
        <f>tabla_mortalidad_hombre_2021!F4</f>
        <v>0.99850112415688197</v>
      </c>
      <c r="I6" s="21">
        <f t="shared" si="0"/>
        <v>1.4988758431180305E-3</v>
      </c>
      <c r="J6" s="22">
        <f>tabla_mortalidad_hombre_2021!D4</f>
        <v>2.5</v>
      </c>
      <c r="K6" s="23">
        <f>tabla_mortalidad_hombre_2021!K4</f>
        <v>62.832597736640103</v>
      </c>
      <c r="L6" s="21">
        <f t="shared" ref="L6:L22" si="9">H6^F6</f>
        <v>0.99860888557686156</v>
      </c>
      <c r="M6" s="24">
        <f t="shared" si="1"/>
        <v>1.3911144231384398E-3</v>
      </c>
      <c r="N6" s="25">
        <f t="shared" si="8"/>
        <v>98019.013342557737</v>
      </c>
      <c r="O6" s="26">
        <f t="shared" si="2"/>
        <v>136.35566320263123</v>
      </c>
      <c r="P6" s="26">
        <f>C6+(F6*(I6/M6)*(J6-C6))</f>
        <v>2.5001348605515874</v>
      </c>
      <c r="Q6" s="25">
        <f t="shared" si="3"/>
        <v>489754.19594378211</v>
      </c>
      <c r="R6" s="25">
        <f t="shared" si="4"/>
        <v>6474127.5113410102</v>
      </c>
      <c r="S6" s="18">
        <f t="shared" si="5"/>
        <v>66.049711077127156</v>
      </c>
      <c r="T6" s="28">
        <f t="shared" si="6"/>
        <v>3.2171133404870531</v>
      </c>
      <c r="V6" s="58"/>
      <c r="W6" s="59"/>
    </row>
    <row r="7" spans="2:23" ht="15" customHeight="1">
      <c r="B7" s="15">
        <v>10</v>
      </c>
      <c r="C7" s="16">
        <v>5</v>
      </c>
      <c r="D7" s="17">
        <f>'Defunciones generales'!D43</f>
        <v>89</v>
      </c>
      <c r="E7" s="17">
        <f>Homicidios!N48</f>
        <v>8.4415341440598688</v>
      </c>
      <c r="F7" s="18">
        <f t="shared" si="7"/>
        <v>0.90515130175213632</v>
      </c>
      <c r="G7" s="19">
        <f>tabla_mortalidad_hombre_2021!G5</f>
        <v>97861.1038368101</v>
      </c>
      <c r="H7" s="20">
        <f>tabla_mortalidad_hombre_2021!F5</f>
        <v>0.99738526788697801</v>
      </c>
      <c r="I7" s="21">
        <f t="shared" si="0"/>
        <v>2.6147321130219892E-3</v>
      </c>
      <c r="J7" s="22">
        <f>tabla_mortalidad_hombre_2021!D5</f>
        <v>2.5</v>
      </c>
      <c r="K7" s="23">
        <f>tabla_mortalidad_hombre_2021!K5</f>
        <v>57.9231645583613</v>
      </c>
      <c r="L7" s="21">
        <f t="shared" si="9"/>
        <v>0.99763297806477702</v>
      </c>
      <c r="M7" s="24">
        <f t="shared" si="1"/>
        <v>2.3670219352229793E-3</v>
      </c>
      <c r="N7" s="25">
        <f t="shared" si="8"/>
        <v>97882.657679355107</v>
      </c>
      <c r="O7" s="26">
        <f t="shared" si="2"/>
        <v>231.69039780495555</v>
      </c>
      <c r="P7" s="21">
        <f t="shared" ref="P7:P20" si="10">(((-5/24)*O6)+((2.5)*O7)+((5/24)*O8))/O7</f>
        <v>2.9239760194729127</v>
      </c>
      <c r="Q7" s="25">
        <f t="shared" si="3"/>
        <v>488932.29357487464</v>
      </c>
      <c r="R7" s="25">
        <f t="shared" si="4"/>
        <v>5984373.3153972281</v>
      </c>
      <c r="S7" s="18">
        <f t="shared" si="5"/>
        <v>61.138238961603314</v>
      </c>
      <c r="T7" s="28">
        <f t="shared" si="6"/>
        <v>3.2150744032420135</v>
      </c>
      <c r="V7" s="60"/>
      <c r="W7" s="61"/>
    </row>
    <row r="8" spans="2:23" ht="15" customHeight="1">
      <c r="B8" s="15">
        <v>15</v>
      </c>
      <c r="C8" s="16">
        <v>5</v>
      </c>
      <c r="D8" s="17">
        <f>'Defunciones generales'!D44</f>
        <v>371</v>
      </c>
      <c r="E8" s="17">
        <f>Homicidios!N49</f>
        <v>163.55472404115997</v>
      </c>
      <c r="F8" s="18">
        <f t="shared" si="7"/>
        <v>0.55915168722059305</v>
      </c>
      <c r="G8" s="19">
        <f>tabla_mortalidad_hombre_2021!G6</f>
        <v>97605.223265992201</v>
      </c>
      <c r="H8" s="20">
        <f>tabla_mortalidad_hombre_2021!F6</f>
        <v>0.98889461411540003</v>
      </c>
      <c r="I8" s="21">
        <f t="shared" si="0"/>
        <v>1.1105385884599972E-2</v>
      </c>
      <c r="J8" s="22">
        <f>tabla_mortalidad_hombre_2021!D6</f>
        <v>2.5</v>
      </c>
      <c r="K8" s="23">
        <f>tabla_mortalidad_hombre_2021!K6</f>
        <v>53.068461198327803</v>
      </c>
      <c r="L8" s="21">
        <f t="shared" si="9"/>
        <v>0.9937751226776389</v>
      </c>
      <c r="M8" s="24">
        <f t="shared" si="1"/>
        <v>6.2248773223610998E-3</v>
      </c>
      <c r="N8" s="25">
        <f t="shared" si="8"/>
        <v>97650.967281550154</v>
      </c>
      <c r="O8" s="26">
        <f t="shared" si="2"/>
        <v>607.8652917375473</v>
      </c>
      <c r="P8" s="21">
        <f t="shared" si="10"/>
        <v>2.6927005983455867</v>
      </c>
      <c r="Q8" s="25">
        <f t="shared" si="3"/>
        <v>486852.30918383825</v>
      </c>
      <c r="R8" s="25">
        <f t="shared" si="4"/>
        <v>5495441.0218223538</v>
      </c>
      <c r="S8" s="18">
        <f t="shared" si="5"/>
        <v>56.276360335251326</v>
      </c>
      <c r="T8" s="28">
        <f t="shared" si="6"/>
        <v>3.2078991369235226</v>
      </c>
      <c r="V8" s="29" t="s">
        <v>81</v>
      </c>
      <c r="W8" s="29" t="s">
        <v>82</v>
      </c>
    </row>
    <row r="9" spans="2:23" ht="15" customHeight="1">
      <c r="B9" s="15">
        <v>20</v>
      </c>
      <c r="C9" s="16">
        <v>5</v>
      </c>
      <c r="D9" s="17">
        <f>'Defunciones generales'!D45</f>
        <v>601</v>
      </c>
      <c r="E9" s="17">
        <f>Homicidios!N50</f>
        <v>339.77174929840976</v>
      </c>
      <c r="F9" s="18">
        <f t="shared" si="7"/>
        <v>0.43465599118401038</v>
      </c>
      <c r="G9" s="19">
        <f>tabla_mortalidad_hombre_2021!G7</f>
        <v>96521.279597270797</v>
      </c>
      <c r="H9" s="20">
        <f>tabla_mortalidad_hombre_2021!F7</f>
        <v>0.98127748745444598</v>
      </c>
      <c r="I9" s="21">
        <f t="shared" si="0"/>
        <v>1.8722512545554015E-2</v>
      </c>
      <c r="J9" s="22">
        <f>tabla_mortalidad_hombre_2021!D7</f>
        <v>2.5</v>
      </c>
      <c r="K9" s="23">
        <f>tabla_mortalidad_hombre_2021!K7</f>
        <v>48.636350098906199</v>
      </c>
      <c r="L9" s="21">
        <f t="shared" si="9"/>
        <v>0.99181865369515154</v>
      </c>
      <c r="M9" s="24">
        <f t="shared" si="1"/>
        <v>8.181346304848458E-3</v>
      </c>
      <c r="N9" s="25">
        <f t="shared" si="8"/>
        <v>97043.101989812611</v>
      </c>
      <c r="O9" s="26">
        <f t="shared" si="2"/>
        <v>793.94322387538546</v>
      </c>
      <c r="P9" s="21">
        <f t="shared" si="10"/>
        <v>2.6348259125968951</v>
      </c>
      <c r="Q9" s="25">
        <f t="shared" si="3"/>
        <v>483337.69600908371</v>
      </c>
      <c r="R9" s="25">
        <f t="shared" si="4"/>
        <v>5008588.712638516</v>
      </c>
      <c r="S9" s="18">
        <f t="shared" si="5"/>
        <v>51.612001367848976</v>
      </c>
      <c r="T9" s="28">
        <f t="shared" si="6"/>
        <v>2.9756512689427765</v>
      </c>
      <c r="V9" s="30">
        <f>([2]TV!M53-[2]TV!M71)/[2]TV!J53</f>
        <v>66.401396448949356</v>
      </c>
      <c r="W9" s="30">
        <f>(R4-R22)/N4</f>
        <v>68.267476522289613</v>
      </c>
    </row>
    <row r="10" spans="2:23" ht="15" customHeight="1">
      <c r="B10" s="15">
        <v>25</v>
      </c>
      <c r="C10" s="16">
        <v>5</v>
      </c>
      <c r="D10" s="17">
        <f>'Defunciones generales'!D46</f>
        <v>731</v>
      </c>
      <c r="E10" s="17">
        <f>Homicidios!N51</f>
        <v>377.75865294667915</v>
      </c>
      <c r="F10" s="18">
        <f t="shared" si="7"/>
        <v>0.48323029692656749</v>
      </c>
      <c r="G10" s="19">
        <f>tabla_mortalidad_hombre_2021!G8</f>
        <v>94714.158729097995</v>
      </c>
      <c r="H10" s="20">
        <f>tabla_mortalidad_hombre_2021!F8</f>
        <v>0.97603360235260594</v>
      </c>
      <c r="I10" s="21">
        <f t="shared" si="0"/>
        <v>2.3966397647394055E-2</v>
      </c>
      <c r="J10" s="22">
        <f>tabla_mortalidad_hombre_2021!D8</f>
        <v>2.5</v>
      </c>
      <c r="K10" s="23">
        <f>tabla_mortalidad_hombre_2021!K8</f>
        <v>44.516619344431902</v>
      </c>
      <c r="L10" s="21">
        <f t="shared" si="9"/>
        <v>0.98834611044166043</v>
      </c>
      <c r="M10" s="24">
        <f t="shared" si="1"/>
        <v>1.165388955833957E-2</v>
      </c>
      <c r="N10" s="25">
        <f t="shared" si="8"/>
        <v>96249.158765937231</v>
      </c>
      <c r="O10" s="26">
        <f t="shared" si="2"/>
        <v>1121.6770663413233</v>
      </c>
      <c r="P10" s="21">
        <f t="shared" si="10"/>
        <v>2.5952928920094034</v>
      </c>
      <c r="Q10" s="25">
        <f t="shared" si="3"/>
        <v>478548.48901538516</v>
      </c>
      <c r="R10" s="25">
        <f t="shared" si="4"/>
        <v>4525251.0166294323</v>
      </c>
      <c r="S10" s="18">
        <f t="shared" si="5"/>
        <v>47.016005902286679</v>
      </c>
      <c r="T10" s="28">
        <f t="shared" si="6"/>
        <v>2.4993865578547769</v>
      </c>
      <c r="V10" s="31" t="s">
        <v>83</v>
      </c>
      <c r="W10" s="30">
        <f>W9-V9</f>
        <v>1.8660800733402567</v>
      </c>
    </row>
    <row r="11" spans="2:23" ht="15" customHeight="1">
      <c r="B11" s="15">
        <v>30</v>
      </c>
      <c r="C11" s="16">
        <v>5</v>
      </c>
      <c r="D11" s="17">
        <f>'Defunciones generales'!D47</f>
        <v>741</v>
      </c>
      <c r="E11" s="17">
        <f>Homicidios!N52</f>
        <v>361.93077642656687</v>
      </c>
      <c r="F11" s="18">
        <f t="shared" si="7"/>
        <v>0.51156440428263583</v>
      </c>
      <c r="G11" s="19">
        <f>tabla_mortalidad_hombre_2021!G9</f>
        <v>92444.201538157999</v>
      </c>
      <c r="H11" s="20">
        <f>tabla_mortalidad_hombre_2021!F9</f>
        <v>0.97331837255431497</v>
      </c>
      <c r="I11" s="21">
        <f t="shared" si="0"/>
        <v>2.668162744568503E-2</v>
      </c>
      <c r="J11" s="22">
        <f>tabla_mortalidad_hombre_2021!D9</f>
        <v>2.5</v>
      </c>
      <c r="K11" s="23">
        <f>tabla_mortalidad_hombre_2021!K9</f>
        <v>40.548332806530503</v>
      </c>
      <c r="L11" s="21">
        <f t="shared" si="9"/>
        <v>0.98626049078589328</v>
      </c>
      <c r="M11" s="24">
        <f t="shared" si="1"/>
        <v>1.3739509214106715E-2</v>
      </c>
      <c r="N11" s="25">
        <f t="shared" si="8"/>
        <v>95127.481699595912</v>
      </c>
      <c r="O11" s="26">
        <f t="shared" si="2"/>
        <v>1307.004911326366</v>
      </c>
      <c r="P11" s="21">
        <f t="shared" si="10"/>
        <v>2.5922694735945337</v>
      </c>
      <c r="Q11" s="25">
        <f t="shared" si="3"/>
        <v>472490.49287481717</v>
      </c>
      <c r="R11" s="25">
        <f t="shared" si="4"/>
        <v>4046702.5276140473</v>
      </c>
      <c r="S11" s="18">
        <f t="shared" si="5"/>
        <v>42.539784038362043</v>
      </c>
      <c r="T11" s="28">
        <f t="shared" si="6"/>
        <v>1.9914512318315403</v>
      </c>
    </row>
    <row r="12" spans="2:23" ht="15" customHeight="1">
      <c r="B12" s="15">
        <v>35</v>
      </c>
      <c r="C12" s="16">
        <v>5</v>
      </c>
      <c r="D12" s="17">
        <f>'Defunciones generales'!D48</f>
        <v>784</v>
      </c>
      <c r="E12" s="17">
        <f>Homicidios!N53</f>
        <v>306.00561272217027</v>
      </c>
      <c r="F12" s="18">
        <f t="shared" si="7"/>
        <v>0.60968671846661959</v>
      </c>
      <c r="G12" s="19">
        <f>tabla_mortalidad_hombre_2021!G10</f>
        <v>89977.639793202994</v>
      </c>
      <c r="H12" s="20">
        <f>tabla_mortalidad_hombre_2021!F10</f>
        <v>0.97044369433867606</v>
      </c>
      <c r="I12" s="21">
        <f t="shared" si="0"/>
        <v>2.9556305661323945E-2</v>
      </c>
      <c r="J12" s="22">
        <f>tabla_mortalidad_hombre_2021!D10</f>
        <v>2.5</v>
      </c>
      <c r="K12" s="23">
        <f>tabla_mortalidad_hombre_2021!K10</f>
        <v>36.591353743460999</v>
      </c>
      <c r="L12" s="21">
        <f t="shared" si="9"/>
        <v>0.98187452175375212</v>
      </c>
      <c r="M12" s="24">
        <f t="shared" si="1"/>
        <v>1.8125478246247884E-2</v>
      </c>
      <c r="N12" s="25">
        <f t="shared" si="8"/>
        <v>93820.476788269545</v>
      </c>
      <c r="O12" s="26">
        <f t="shared" si="2"/>
        <v>1700.5410110783841</v>
      </c>
      <c r="P12" s="21">
        <f t="shared" si="10"/>
        <v>2.5965434836759784</v>
      </c>
      <c r="Q12" s="25">
        <f t="shared" si="3"/>
        <v>465015.20756699517</v>
      </c>
      <c r="R12" s="25">
        <f t="shared" si="4"/>
        <v>3574212.0347392303</v>
      </c>
      <c r="S12" s="18">
        <f t="shared" si="5"/>
        <v>38.096289393256605</v>
      </c>
      <c r="T12" s="28">
        <f t="shared" si="6"/>
        <v>1.5049356497956055</v>
      </c>
    </row>
    <row r="13" spans="2:23" ht="15" customHeight="1">
      <c r="B13" s="15">
        <v>40</v>
      </c>
      <c r="C13" s="16">
        <v>5</v>
      </c>
      <c r="D13" s="17">
        <f>'Defunciones generales'!D49</f>
        <v>839</v>
      </c>
      <c r="E13" s="17">
        <f>Homicidios!N54</f>
        <v>258.52198316183348</v>
      </c>
      <c r="F13" s="18">
        <f t="shared" si="7"/>
        <v>0.69186891160687303</v>
      </c>
      <c r="G13" s="19">
        <f>tabla_mortalidad_hombre_2021!G11</f>
        <v>87318.233168790597</v>
      </c>
      <c r="H13" s="20">
        <f>tabla_mortalidad_hombre_2021!F11</f>
        <v>0.967295865345838</v>
      </c>
      <c r="I13" s="21">
        <f t="shared" si="0"/>
        <v>3.2704134654161998E-2</v>
      </c>
      <c r="J13" s="22">
        <f>tabla_mortalidad_hombre_2021!D11</f>
        <v>2.5</v>
      </c>
      <c r="K13" s="23">
        <f>tabla_mortalidad_hombre_2021!K11</f>
        <v>32.629656612064601</v>
      </c>
      <c r="L13" s="21">
        <f t="shared" si="9"/>
        <v>0.97725736096427773</v>
      </c>
      <c r="M13" s="24">
        <f t="shared" si="1"/>
        <v>2.2742639035722267E-2</v>
      </c>
      <c r="N13" s="25">
        <f t="shared" si="8"/>
        <v>92119.93577719116</v>
      </c>
      <c r="O13" s="26">
        <f t="shared" si="2"/>
        <v>2095.0504473745759</v>
      </c>
      <c r="P13" s="21">
        <f t="shared" si="10"/>
        <v>2.6462499671536599</v>
      </c>
      <c r="Q13" s="25">
        <f t="shared" si="3"/>
        <v>455668.45382663317</v>
      </c>
      <c r="R13" s="25">
        <f t="shared" si="4"/>
        <v>3109196.8271722351</v>
      </c>
      <c r="S13" s="18">
        <f t="shared" si="5"/>
        <v>33.751617399000295</v>
      </c>
      <c r="T13" s="28">
        <f t="shared" si="6"/>
        <v>1.1219607869356949</v>
      </c>
    </row>
    <row r="14" spans="2:23" ht="15" customHeight="1">
      <c r="B14" s="15">
        <v>45</v>
      </c>
      <c r="C14" s="16">
        <v>5</v>
      </c>
      <c r="D14" s="17">
        <f>'Defunciones generales'!D50</f>
        <v>1101</v>
      </c>
      <c r="E14" s="17">
        <f>Homicidios!N55</f>
        <v>180.43779232927969</v>
      </c>
      <c r="F14" s="18">
        <f t="shared" si="7"/>
        <v>0.83611463003698483</v>
      </c>
      <c r="G14" s="19">
        <f>tabla_mortalidad_hombre_2021!G12</f>
        <v>84462.5659134749</v>
      </c>
      <c r="H14" s="20">
        <f>tabla_mortalidad_hombre_2021!F12</f>
        <v>0.95801560287809495</v>
      </c>
      <c r="I14" s="21">
        <f t="shared" si="0"/>
        <v>4.1984397121905048E-2</v>
      </c>
      <c r="J14" s="22">
        <f>tabla_mortalidad_hombre_2021!D12</f>
        <v>2.5</v>
      </c>
      <c r="K14" s="23">
        <f>tabla_mortalidad_hombre_2021!K12</f>
        <v>28.6483359864175</v>
      </c>
      <c r="L14" s="21">
        <f t="shared" si="9"/>
        <v>0.96477345032758122</v>
      </c>
      <c r="M14" s="24">
        <f t="shared" si="1"/>
        <v>3.5226549672418783E-2</v>
      </c>
      <c r="N14" s="25">
        <f t="shared" si="8"/>
        <v>90024.885329816578</v>
      </c>
      <c r="O14" s="26">
        <f t="shared" si="2"/>
        <v>3171.2660948245889</v>
      </c>
      <c r="P14" s="21">
        <f t="shared" si="10"/>
        <v>2.6578146836448076</v>
      </c>
      <c r="Q14" s="25">
        <f t="shared" si="3"/>
        <v>442696.7337675296</v>
      </c>
      <c r="R14" s="25">
        <f t="shared" si="4"/>
        <v>2653528.3733456018</v>
      </c>
      <c r="S14" s="18">
        <f t="shared" si="5"/>
        <v>29.475498509374312</v>
      </c>
      <c r="T14" s="28">
        <f t="shared" si="6"/>
        <v>0.82716252295681159</v>
      </c>
    </row>
    <row r="15" spans="2:23" ht="15" customHeight="1">
      <c r="B15" s="15">
        <v>50</v>
      </c>
      <c r="C15" s="16">
        <v>5</v>
      </c>
      <c r="D15" s="17">
        <f>'Defunciones generales'!D51</f>
        <v>1313</v>
      </c>
      <c r="E15" s="17">
        <f>Homicidios!N56</f>
        <v>108.68475210477081</v>
      </c>
      <c r="F15" s="18">
        <f t="shared" si="7"/>
        <v>0.91722410349979377</v>
      </c>
      <c r="G15" s="19">
        <f>tabla_mortalidad_hombre_2021!G13</f>
        <v>80916.456004228501</v>
      </c>
      <c r="H15" s="20">
        <f>tabla_mortalidad_hombre_2021!F13</f>
        <v>0.94368061508161805</v>
      </c>
      <c r="I15" s="21">
        <f t="shared" si="0"/>
        <v>5.6319384918381954E-2</v>
      </c>
      <c r="J15" s="22">
        <f>tabla_mortalidad_hombre_2021!D13</f>
        <v>2.5</v>
      </c>
      <c r="K15" s="23">
        <f>tabla_mortalidad_hombre_2021!K13</f>
        <v>24.794269433464301</v>
      </c>
      <c r="L15" s="21">
        <f t="shared" si="9"/>
        <v>0.94821956996810719</v>
      </c>
      <c r="M15" s="24">
        <f t="shared" si="1"/>
        <v>5.178043003189281E-2</v>
      </c>
      <c r="N15" s="25">
        <f t="shared" si="8"/>
        <v>86853.619234991987</v>
      </c>
      <c r="O15" s="26">
        <f t="shared" si="2"/>
        <v>4497.3177538141617</v>
      </c>
      <c r="P15" s="21">
        <f t="shared" si="10"/>
        <v>2.6294822308652659</v>
      </c>
      <c r="Q15" s="25">
        <f t="shared" si="3"/>
        <v>423607.12452609831</v>
      </c>
      <c r="R15" s="25">
        <f t="shared" si="4"/>
        <v>2210831.6395780724</v>
      </c>
      <c r="S15" s="18">
        <f t="shared" si="5"/>
        <v>25.454686391322682</v>
      </c>
      <c r="T15" s="28">
        <f t="shared" si="6"/>
        <v>0.66041695785838073</v>
      </c>
    </row>
    <row r="16" spans="2:23" ht="15" customHeight="1">
      <c r="B16" s="15">
        <v>55</v>
      </c>
      <c r="C16" s="16">
        <v>5</v>
      </c>
      <c r="D16" s="17">
        <f>'Defunciones generales'!D52</f>
        <v>1407</v>
      </c>
      <c r="E16" s="17">
        <f>Homicidios!N57</f>
        <v>64.366697848456496</v>
      </c>
      <c r="F16" s="18">
        <f t="shared" si="7"/>
        <v>0.95425252462796273</v>
      </c>
      <c r="G16" s="19">
        <f>tabla_mortalidad_hombre_2021!G14</f>
        <v>76359.290972294999</v>
      </c>
      <c r="H16" s="20">
        <f>tabla_mortalidad_hombre_2021!F14</f>
        <v>0.92421548507985896</v>
      </c>
      <c r="I16" s="21">
        <f t="shared" si="0"/>
        <v>7.5784514920141044E-2</v>
      </c>
      <c r="J16" s="22">
        <f>tabla_mortalidad_hombre_2021!D14</f>
        <v>2.5</v>
      </c>
      <c r="K16" s="23">
        <f>tabla_mortalidad_hombre_2021!K14</f>
        <v>21.1248038554189</v>
      </c>
      <c r="L16" s="21">
        <f t="shared" si="9"/>
        <v>0.9275536283350152</v>
      </c>
      <c r="M16" s="24">
        <f t="shared" si="1"/>
        <v>7.2446371664984799E-2</v>
      </c>
      <c r="N16" s="25">
        <f t="shared" si="8"/>
        <v>82356.301481177827</v>
      </c>
      <c r="O16" s="26">
        <f t="shared" si="2"/>
        <v>5966.4152260589472</v>
      </c>
      <c r="P16" s="21">
        <f t="shared" si="10"/>
        <v>2.6388936131566183</v>
      </c>
      <c r="Q16" s="25">
        <f t="shared" si="3"/>
        <v>397694.16630908177</v>
      </c>
      <c r="R16" s="25">
        <f t="shared" si="4"/>
        <v>1787224.5150519742</v>
      </c>
      <c r="S16" s="18">
        <f t="shared" si="5"/>
        <v>21.701126482233256</v>
      </c>
      <c r="T16" s="28">
        <f t="shared" si="6"/>
        <v>0.5763226268143562</v>
      </c>
    </row>
    <row r="17" spans="2:28" ht="15" customHeight="1">
      <c r="B17" s="15">
        <v>60</v>
      </c>
      <c r="C17" s="16">
        <v>5</v>
      </c>
      <c r="D17" s="17">
        <f>'Defunciones generales'!D53</f>
        <v>1688</v>
      </c>
      <c r="E17" s="17">
        <f>Homicidios!N58</f>
        <v>32.710944808231993</v>
      </c>
      <c r="F17" s="18">
        <f t="shared" si="7"/>
        <v>0.98062147819417544</v>
      </c>
      <c r="G17" s="19">
        <f>tabla_mortalidad_hombre_2021!G15</f>
        <v>70572.439146313802</v>
      </c>
      <c r="H17" s="20">
        <f>tabla_mortalidad_hombre_2021!F15</f>
        <v>0.88699151708388602</v>
      </c>
      <c r="I17" s="21">
        <f t="shared" si="0"/>
        <v>0.11300848291611398</v>
      </c>
      <c r="J17" s="22">
        <f>tabla_mortalidad_hombre_2021!D15</f>
        <v>2.5</v>
      </c>
      <c r="K17" s="23">
        <f>tabla_mortalidad_hombre_2021!K15</f>
        <v>17.652014498880199</v>
      </c>
      <c r="L17" s="21">
        <f t="shared" si="9"/>
        <v>0.88905516662844619</v>
      </c>
      <c r="M17" s="24">
        <f t="shared" si="1"/>
        <v>0.11094483337155381</v>
      </c>
      <c r="N17" s="25">
        <f t="shared" si="8"/>
        <v>76389.886255118879</v>
      </c>
      <c r="O17" s="26">
        <f t="shared" si="2"/>
        <v>8475.0632018461129</v>
      </c>
      <c r="P17" s="21">
        <f t="shared" si="10"/>
        <v>2.6081404086908462</v>
      </c>
      <c r="Q17" s="25">
        <f t="shared" si="3"/>
        <v>361678.27006930753</v>
      </c>
      <c r="R17" s="25">
        <f t="shared" si="4"/>
        <v>1389530.3487428925</v>
      </c>
      <c r="S17" s="18">
        <f t="shared" si="5"/>
        <v>18.189977978266466</v>
      </c>
      <c r="T17" s="28">
        <f t="shared" si="6"/>
        <v>0.5379634793862671</v>
      </c>
    </row>
    <row r="18" spans="2:28" ht="15" customHeight="1">
      <c r="B18" s="15">
        <v>65</v>
      </c>
      <c r="C18" s="16">
        <v>5</v>
      </c>
      <c r="D18" s="17">
        <f>'Defunciones generales'!D54</f>
        <v>1658</v>
      </c>
      <c r="E18" s="17">
        <f>Homicidios!N59</f>
        <v>22.159027128157156</v>
      </c>
      <c r="F18" s="18">
        <f t="shared" si="7"/>
        <v>0.986635086171196</v>
      </c>
      <c r="G18" s="19">
        <f>tabla_mortalidad_hombre_2021!G16</f>
        <v>62597.154862699099</v>
      </c>
      <c r="H18" s="20">
        <f>tabla_mortalidad_hombre_2021!F16</f>
        <v>0.84547466463059695</v>
      </c>
      <c r="I18" s="21">
        <f t="shared" si="0"/>
        <v>0.15452533536940305</v>
      </c>
      <c r="J18" s="22">
        <f>tabla_mortalidad_hombre_2021!D16</f>
        <v>2.5</v>
      </c>
      <c r="K18" s="23">
        <f>tabla_mortalidad_hombre_2021!K16</f>
        <v>14.582479603293899</v>
      </c>
      <c r="L18" s="21">
        <f t="shared" si="9"/>
        <v>0.84737352772156405</v>
      </c>
      <c r="M18" s="24">
        <f t="shared" si="1"/>
        <v>0.15262647227843595</v>
      </c>
      <c r="N18" s="25">
        <f t="shared" si="8"/>
        <v>67914.823053272761</v>
      </c>
      <c r="O18" s="26">
        <f t="shared" si="2"/>
        <v>10365.599858035219</v>
      </c>
      <c r="P18" s="21">
        <f t="shared" si="10"/>
        <v>2.5877894697305424</v>
      </c>
      <c r="Q18" s="25">
        <f t="shared" si="3"/>
        <v>314570.10613625171</v>
      </c>
      <c r="R18" s="25">
        <f t="shared" si="4"/>
        <v>1027852.0786735849</v>
      </c>
      <c r="S18" s="18">
        <f t="shared" si="5"/>
        <v>15.134429163826754</v>
      </c>
      <c r="T18" s="28">
        <f t="shared" si="6"/>
        <v>0.55194956053285438</v>
      </c>
    </row>
    <row r="19" spans="2:28" ht="15" customHeight="1">
      <c r="B19" s="15">
        <v>70</v>
      </c>
      <c r="C19" s="16">
        <v>5</v>
      </c>
      <c r="D19" s="17">
        <f>'Defunciones generales'!D55</f>
        <v>1792</v>
      </c>
      <c r="E19" s="17">
        <f>Homicidios!N60</f>
        <v>16.883068288119738</v>
      </c>
      <c r="F19" s="18">
        <f t="shared" si="7"/>
        <v>0.99057864492850456</v>
      </c>
      <c r="G19" s="19">
        <f>tabla_mortalidad_hombre_2021!G17</f>
        <v>52924.308514370103</v>
      </c>
      <c r="H19" s="20">
        <f>tabla_mortalidad_hombre_2021!F17</f>
        <v>0.77497066167633699</v>
      </c>
      <c r="I19" s="21">
        <f t="shared" si="0"/>
        <v>0.22502933832366301</v>
      </c>
      <c r="J19" s="22">
        <f>tabla_mortalidad_hombre_2021!D17</f>
        <v>2.5</v>
      </c>
      <c r="K19" s="23">
        <f>tabla_mortalidad_hombre_2021!K17</f>
        <v>11.790764831578899</v>
      </c>
      <c r="L19" s="21">
        <f t="shared" si="9"/>
        <v>0.77683421320631751</v>
      </c>
      <c r="M19" s="24">
        <f t="shared" si="1"/>
        <v>0.22316578679368249</v>
      </c>
      <c r="N19" s="25">
        <f t="shared" si="8"/>
        <v>57549.223195237544</v>
      </c>
      <c r="O19" s="26">
        <f t="shared" si="2"/>
        <v>12843.017673730428</v>
      </c>
      <c r="P19" s="21">
        <f t="shared" si="10"/>
        <v>2.539232906200219</v>
      </c>
      <c r="Q19" s="25">
        <f>(C19*N20)+(P19*O19)</f>
        <v>256142.44069958289</v>
      </c>
      <c r="R19" s="25">
        <f t="shared" si="4"/>
        <v>713281.97253733315</v>
      </c>
      <c r="S19" s="18">
        <f t="shared" si="5"/>
        <v>12.394293666093489</v>
      </c>
      <c r="T19" s="28">
        <f t="shared" si="6"/>
        <v>0.60352883451458972</v>
      </c>
    </row>
    <row r="20" spans="2:28" ht="15" customHeight="1">
      <c r="B20" s="15">
        <v>75</v>
      </c>
      <c r="C20" s="16">
        <v>5</v>
      </c>
      <c r="D20" s="17">
        <f>'Defunciones generales'!D56</f>
        <v>1644</v>
      </c>
      <c r="E20" s="17">
        <f>Homicidios!N61</f>
        <v>6.3311506080449016</v>
      </c>
      <c r="F20" s="18">
        <f t="shared" si="7"/>
        <v>0.99614893515325731</v>
      </c>
      <c r="G20" s="19">
        <f>tabla_mortalidad_hombre_2021!G18</f>
        <v>41014.786388143999</v>
      </c>
      <c r="H20" s="20">
        <f>tabla_mortalidad_hombre_2021!F18</f>
        <v>0.71311119912933696</v>
      </c>
      <c r="I20" s="21">
        <f t="shared" si="0"/>
        <v>0.28688880087066304</v>
      </c>
      <c r="J20" s="22">
        <f>tabla_mortalidad_hombre_2021!D18</f>
        <v>2.5</v>
      </c>
      <c r="K20" s="23">
        <f>tabla_mortalidad_hombre_2021!K18</f>
        <v>9.4885374905445907</v>
      </c>
      <c r="L20" s="21">
        <f t="shared" si="9"/>
        <v>0.7140403560094829</v>
      </c>
      <c r="M20" s="24">
        <f t="shared" si="1"/>
        <v>0.2859596439905171</v>
      </c>
      <c r="N20" s="25">
        <f t="shared" si="8"/>
        <v>44706.205521507116</v>
      </c>
      <c r="O20" s="26">
        <f t="shared" si="2"/>
        <v>12784.170615097064</v>
      </c>
      <c r="P20" s="21">
        <f t="shared" si="10"/>
        <v>2.5028579237192097</v>
      </c>
      <c r="Q20" s="25">
        <f t="shared" si="3"/>
        <v>191607.13725422425</v>
      </c>
      <c r="R20" s="25">
        <f t="shared" si="4"/>
        <v>457139.53183775023</v>
      </c>
      <c r="S20" s="18">
        <f t="shared" si="5"/>
        <v>10.225415610766408</v>
      </c>
      <c r="T20" s="28">
        <f t="shared" si="6"/>
        <v>0.73687812022181731</v>
      </c>
    </row>
    <row r="21" spans="2:28" ht="15" customHeight="1">
      <c r="B21" s="15">
        <v>80</v>
      </c>
      <c r="C21" s="16">
        <v>5</v>
      </c>
      <c r="D21" s="17">
        <f>'Defunciones generales'!D57</f>
        <v>1543</v>
      </c>
      <c r="E21" s="17">
        <f>Homicidios!N62</f>
        <v>1.0551917680074836</v>
      </c>
      <c r="F21" s="18">
        <f t="shared" si="7"/>
        <v>0.99931614272974234</v>
      </c>
      <c r="G21" s="19">
        <f>tabla_mortalidad_hombre_2021!G19</f>
        <v>29248.103503282899</v>
      </c>
      <c r="H21" s="20">
        <f>tabla_mortalidad_hombre_2021!F19</f>
        <v>0.59196937100281199</v>
      </c>
      <c r="I21" s="21">
        <f t="shared" si="0"/>
        <v>0.40803062899718801</v>
      </c>
      <c r="J21" s="22">
        <f>tabla_mortalidad_hombre_2021!D19</f>
        <v>2.5</v>
      </c>
      <c r="K21" s="23">
        <f>tabla_mortalidad_hombre_2021!K19</f>
        <v>7.30006694478665</v>
      </c>
      <c r="L21" s="21">
        <f t="shared" si="9"/>
        <v>0.59218165768039477</v>
      </c>
      <c r="M21" s="24">
        <f t="shared" si="1"/>
        <v>0.40781834231960523</v>
      </c>
      <c r="N21" s="25">
        <f t="shared" si="8"/>
        <v>31922.034906410052</v>
      </c>
      <c r="O21" s="26">
        <f t="shared" si="2"/>
        <v>13018.391359000721</v>
      </c>
      <c r="P21" s="26">
        <f>C21+(F21*(I21/M21)*(J21-C21))</f>
        <v>2.5004091774916568</v>
      </c>
      <c r="Q21" s="25">
        <f>(C21*N22)+(P21*O21)</f>
        <v>127069.52296727014</v>
      </c>
      <c r="R21" s="25">
        <f t="shared" si="4"/>
        <v>265532.39458352595</v>
      </c>
      <c r="S21" s="18">
        <f t="shared" si="5"/>
        <v>8.3181537568648594</v>
      </c>
      <c r="T21" s="28">
        <f t="shared" si="6"/>
        <v>1.0180868120782094</v>
      </c>
    </row>
    <row r="22" spans="2:28" ht="15" customHeight="1">
      <c r="B22" s="32">
        <v>85</v>
      </c>
      <c r="C22" s="33">
        <v>5</v>
      </c>
      <c r="D22" s="17">
        <f>'Defunciones generales'!D58</f>
        <v>1749</v>
      </c>
      <c r="E22" s="17">
        <f>Homicidios!N63</f>
        <v>1.0551917680074836</v>
      </c>
      <c r="F22" s="34">
        <f t="shared" si="7"/>
        <v>0.9993966885260106</v>
      </c>
      <c r="G22" s="19">
        <f>tabla_mortalidad_hombre_2021!G20</f>
        <v>17313.981433863599</v>
      </c>
      <c r="H22" s="20">
        <f>tabla_mortalidad_hombre_2021!F20</f>
        <v>0</v>
      </c>
      <c r="I22" s="35">
        <f t="shared" si="0"/>
        <v>1</v>
      </c>
      <c r="J22" s="22">
        <f>tabla_mortalidad_hombre_2021!D20</f>
        <v>0</v>
      </c>
      <c r="K22" s="23">
        <f>tabla_mortalidad_hombre_2021!K20</f>
        <v>5.6086407167573604</v>
      </c>
      <c r="L22" s="35">
        <f t="shared" si="9"/>
        <v>0</v>
      </c>
      <c r="M22" s="37">
        <f t="shared" si="1"/>
        <v>1</v>
      </c>
      <c r="N22" s="38">
        <f t="shared" si="8"/>
        <v>18903.64354740933</v>
      </c>
      <c r="O22" s="39">
        <f t="shared" si="2"/>
        <v>18903.64354740933</v>
      </c>
      <c r="P22" s="35">
        <f>K22/F22</f>
        <v>5.612026516747247</v>
      </c>
      <c r="Q22" s="36">
        <f>N22/[1]LT!E39</f>
        <v>138462.87161625584</v>
      </c>
      <c r="R22" s="38">
        <f>Q22</f>
        <v>138462.87161625584</v>
      </c>
      <c r="S22" s="34">
        <f t="shared" si="5"/>
        <v>7.3246658121223209</v>
      </c>
      <c r="T22" s="40">
        <f t="shared" si="6"/>
        <v>1.7160250953649605</v>
      </c>
    </row>
    <row r="24" spans="2:28" ht="15" customHeight="1">
      <c r="B24" s="62" t="s">
        <v>84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</row>
    <row r="25" spans="2:28">
      <c r="C25" s="41"/>
      <c r="D25" s="41"/>
      <c r="E25" s="41"/>
      <c r="F25" s="41"/>
    </row>
    <row r="26" spans="2:28" ht="33" customHeight="1">
      <c r="B26" s="9" t="s">
        <v>69</v>
      </c>
      <c r="C26" s="10" t="s">
        <v>1</v>
      </c>
      <c r="D26" s="10" t="s">
        <v>70</v>
      </c>
      <c r="E26" s="10" t="s">
        <v>71</v>
      </c>
      <c r="F26" s="11"/>
      <c r="G26" s="12"/>
      <c r="H26" s="12"/>
      <c r="I26" s="12" t="s">
        <v>72</v>
      </c>
      <c r="J26" s="12"/>
      <c r="K26" s="13" t="s">
        <v>73</v>
      </c>
      <c r="L26" s="12"/>
      <c r="M26" s="12" t="s">
        <v>74</v>
      </c>
      <c r="N26" s="12"/>
      <c r="O26" s="12" t="s">
        <v>75</v>
      </c>
      <c r="P26" s="12"/>
      <c r="Q26" s="12" t="s">
        <v>76</v>
      </c>
      <c r="R26" s="12" t="s">
        <v>77</v>
      </c>
      <c r="S26" s="13" t="s">
        <v>78</v>
      </c>
      <c r="T26" s="14" t="s">
        <v>79</v>
      </c>
      <c r="AA26" s="42" t="s">
        <v>85</v>
      </c>
      <c r="AB26" s="42" t="s">
        <v>86</v>
      </c>
    </row>
    <row r="27" spans="2:28">
      <c r="B27" s="15">
        <v>0</v>
      </c>
      <c r="C27" s="16">
        <v>1</v>
      </c>
      <c r="D27" s="43">
        <f>'Defunciones generales'!D97</f>
        <v>333</v>
      </c>
      <c r="E27" s="43">
        <f>Homicidios!N102</f>
        <v>1.0629139072847682</v>
      </c>
      <c r="F27" s="18">
        <f t="shared" ref="F27:F45" si="11">(D27-E27)/D27</f>
        <v>0.99680806634449015</v>
      </c>
      <c r="G27" s="44">
        <f>tabla_mortalidad_mujer_2021!G2</f>
        <v>100000</v>
      </c>
      <c r="H27" s="45">
        <f>tabla_mortalidad_mujer_2021!F2</f>
        <v>0.98634215823181204</v>
      </c>
      <c r="I27" s="21">
        <f t="shared" ref="I27:I45" si="12">1-H27</f>
        <v>1.3657841768187962E-2</v>
      </c>
      <c r="J27" s="46">
        <f>tabla_mortalidad_mujer_2021!D2</f>
        <v>9.1722311599999995E-2</v>
      </c>
      <c r="K27" s="47">
        <f>tabla_mortalidad_mujer_2021!K2</f>
        <v>74.546187498537705</v>
      </c>
      <c r="L27" s="21">
        <f t="shared" ref="L27:L45" si="13">H27^F27</f>
        <v>0.98638545503590491</v>
      </c>
      <c r="M27" s="24">
        <f t="shared" ref="M27:M45" si="14">1-L27</f>
        <v>1.3614544964095088E-2</v>
      </c>
      <c r="N27" s="25">
        <v>100000</v>
      </c>
      <c r="O27" s="26">
        <f t="shared" ref="O27:O45" si="15">N27*M27</f>
        <v>1361.4544964095087</v>
      </c>
      <c r="P27" s="26">
        <f>C27+(F27*(I27/M27)*(J27-C27))</f>
        <v>9.1742200357855408E-2</v>
      </c>
      <c r="Q27" s="25">
        <f t="shared" ref="Q27:Q44" si="16">(C27*N28)+(P27*O27)</f>
        <v>98763.448334778193</v>
      </c>
      <c r="R27" s="25">
        <f t="shared" ref="R27:R44" si="17">R28+Q27</f>
        <v>7551286.6776762065</v>
      </c>
      <c r="S27" s="48">
        <f t="shared" ref="S27:S45" si="18">R27/N27</f>
        <v>75.512866776762067</v>
      </c>
      <c r="T27" s="28">
        <f t="shared" ref="T27:T45" si="19">S27-K27</f>
        <v>0.96667927822436184</v>
      </c>
      <c r="Z27" s="49" t="s">
        <v>87</v>
      </c>
      <c r="AA27" s="50">
        <f>S4</f>
        <v>69.652105238452165</v>
      </c>
      <c r="AB27" s="50">
        <f>S27</f>
        <v>75.512866776762067</v>
      </c>
    </row>
    <row r="28" spans="2:28">
      <c r="B28" s="15">
        <v>1</v>
      </c>
      <c r="C28" s="16">
        <v>4</v>
      </c>
      <c r="D28" s="43">
        <f>'Defunciones generales'!D98</f>
        <v>68</v>
      </c>
      <c r="E28" s="43">
        <f>Homicidios!N103</f>
        <v>2.1258278145695364</v>
      </c>
      <c r="F28" s="18">
        <f t="shared" si="11"/>
        <v>0.96873782625633043</v>
      </c>
      <c r="G28" s="44">
        <f>tabla_mortalidad_mujer_2021!G3</f>
        <v>98634.215823181206</v>
      </c>
      <c r="H28" s="45">
        <f>tabla_mortalidad_mujer_2021!F3</f>
        <v>0.99768709095723995</v>
      </c>
      <c r="I28" s="21">
        <f t="shared" si="12"/>
        <v>2.3129090427600474E-3</v>
      </c>
      <c r="J28" s="46">
        <f>tabla_mortalidad_mujer_2021!D3</f>
        <v>1.5010069753540001</v>
      </c>
      <c r="K28" s="47">
        <f>tabla_mortalidad_mujer_2021!K3</f>
        <v>74.577155602224195</v>
      </c>
      <c r="L28" s="21">
        <f t="shared" si="13"/>
        <v>0.99775931645197369</v>
      </c>
      <c r="M28" s="24">
        <f t="shared" si="14"/>
        <v>2.2406835480263121E-3</v>
      </c>
      <c r="N28" s="25">
        <f t="shared" ref="N28:N45" si="20">N27*L27</f>
        <v>98638.545503590489</v>
      </c>
      <c r="O28" s="26">
        <f t="shared" si="15"/>
        <v>221.01776611113996</v>
      </c>
      <c r="P28" s="26">
        <f>C28+(F28*(I28/M28)*(J28-C28))</f>
        <v>1.5010973907992819</v>
      </c>
      <c r="Q28" s="25">
        <f t="shared" si="16"/>
        <v>394001.88014194713</v>
      </c>
      <c r="R28" s="25">
        <f t="shared" si="17"/>
        <v>7452523.2293414278</v>
      </c>
      <c r="S28" s="18">
        <f t="shared" si="18"/>
        <v>75.553863768907178</v>
      </c>
      <c r="T28" s="28">
        <f t="shared" si="19"/>
        <v>0.97670816668298244</v>
      </c>
      <c r="U28" s="51"/>
      <c r="V28" s="56" t="s">
        <v>88</v>
      </c>
      <c r="W28" s="57"/>
      <c r="Z28" s="49" t="s">
        <v>89</v>
      </c>
      <c r="AA28" s="50">
        <f>K4</f>
        <v>66.491437045186501</v>
      </c>
      <c r="AB28" s="50">
        <f>K27</f>
        <v>74.546187498537705</v>
      </c>
    </row>
    <row r="29" spans="2:28">
      <c r="B29" s="15">
        <v>5</v>
      </c>
      <c r="C29" s="16">
        <v>5</v>
      </c>
      <c r="D29" s="43">
        <f>'Defunciones generales'!D99</f>
        <v>37</v>
      </c>
      <c r="E29" s="43">
        <f>Homicidios!N104</f>
        <v>2.1258278145695364</v>
      </c>
      <c r="F29" s="18">
        <f t="shared" si="11"/>
        <v>0.94254519420082339</v>
      </c>
      <c r="G29" s="44">
        <f>tabla_mortalidad_mujer_2021!G4</f>
        <v>98406.083853478194</v>
      </c>
      <c r="H29" s="45">
        <f>tabla_mortalidad_mujer_2021!F4</f>
        <v>0.99880547886673299</v>
      </c>
      <c r="I29" s="21">
        <f t="shared" si="12"/>
        <v>1.1945211332670125E-3</v>
      </c>
      <c r="J29" s="46">
        <f>tabla_mortalidad_mujer_2021!D4</f>
        <v>2.5</v>
      </c>
      <c r="K29" s="47">
        <f>tabla_mortalidad_mujer_2021!K4</f>
        <v>70.746565917844194</v>
      </c>
      <c r="L29" s="21">
        <f t="shared" si="13"/>
        <v>0.99887407119471816</v>
      </c>
      <c r="M29" s="24">
        <f t="shared" si="14"/>
        <v>1.1259288052818395E-3</v>
      </c>
      <c r="N29" s="25">
        <f t="shared" si="20"/>
        <v>98417.527737479351</v>
      </c>
      <c r="O29" s="26">
        <f t="shared" si="15"/>
        <v>110.81112942425243</v>
      </c>
      <c r="P29" s="26">
        <f>C29+(F29*(I29/M29)*(J29-C29))</f>
        <v>2.5000858219221196</v>
      </c>
      <c r="Q29" s="25">
        <f t="shared" si="16"/>
        <v>491810.62037386023</v>
      </c>
      <c r="R29" s="25">
        <f t="shared" si="17"/>
        <v>7058521.3491994804</v>
      </c>
      <c r="S29" s="18">
        <f t="shared" si="18"/>
        <v>71.720165213126521</v>
      </c>
      <c r="T29" s="28">
        <f t="shared" si="19"/>
        <v>0.97359929528232669</v>
      </c>
      <c r="U29" s="51"/>
      <c r="V29" s="58"/>
      <c r="W29" s="59"/>
      <c r="AA29" s="52">
        <f>AA27-AA28</f>
        <v>3.1606681932656642</v>
      </c>
      <c r="AB29" s="52">
        <f>AB27-AB28</f>
        <v>0.96667927822436184</v>
      </c>
    </row>
    <row r="30" spans="2:28">
      <c r="B30" s="15">
        <v>10</v>
      </c>
      <c r="C30" s="16">
        <v>5</v>
      </c>
      <c r="D30" s="43">
        <f>'Defunciones generales'!D100</f>
        <v>50</v>
      </c>
      <c r="E30" s="43">
        <f>Homicidios!N105</f>
        <v>4.2516556291390728</v>
      </c>
      <c r="F30" s="18">
        <f t="shared" si="11"/>
        <v>0.91496688741721854</v>
      </c>
      <c r="G30" s="44">
        <f>tabla_mortalidad_mujer_2021!G5</f>
        <v>98288.535706673196</v>
      </c>
      <c r="H30" s="45">
        <f>tabla_mortalidad_mujer_2021!F5</f>
        <v>0.99848022074273202</v>
      </c>
      <c r="I30" s="21">
        <f t="shared" si="12"/>
        <v>1.5197792572679836E-3</v>
      </c>
      <c r="J30" s="46">
        <f>tabla_mortalidad_mujer_2021!D5</f>
        <v>2.5</v>
      </c>
      <c r="K30" s="47">
        <f>tabla_mortalidad_mujer_2021!K5</f>
        <v>65.8281853792775</v>
      </c>
      <c r="L30" s="21">
        <f t="shared" si="13"/>
        <v>0.99860936240266396</v>
      </c>
      <c r="M30" s="24">
        <f t="shared" si="14"/>
        <v>1.3906375973360419E-3</v>
      </c>
      <c r="N30" s="25">
        <f t="shared" si="20"/>
        <v>98306.716608055096</v>
      </c>
      <c r="O30" s="26">
        <f t="shared" si="15"/>
        <v>136.7090161858209</v>
      </c>
      <c r="P30" s="21">
        <f>(((-5/24)*O29)+((2.5)*O30)+((5/24)*O31))/O30</f>
        <v>2.7870546041667414</v>
      </c>
      <c r="Q30" s="25">
        <f t="shared" si="16"/>
        <v>491231.05345233815</v>
      </c>
      <c r="R30" s="25">
        <f t="shared" si="17"/>
        <v>6566710.7288256204</v>
      </c>
      <c r="S30" s="18">
        <f t="shared" si="18"/>
        <v>66.79818994470979</v>
      </c>
      <c r="T30" s="28">
        <f t="shared" si="19"/>
        <v>0.97000456543229063</v>
      </c>
      <c r="U30" s="51"/>
      <c r="V30" s="60"/>
      <c r="W30" s="61"/>
    </row>
    <row r="31" spans="2:28">
      <c r="B31" s="15">
        <v>15</v>
      </c>
      <c r="C31" s="16">
        <v>5</v>
      </c>
      <c r="D31" s="43">
        <f>'Defunciones generales'!D101</f>
        <v>118</v>
      </c>
      <c r="E31" s="43">
        <f>Homicidios!N106</f>
        <v>20.195364238410598</v>
      </c>
      <c r="F31" s="18">
        <f t="shared" si="11"/>
        <v>0.82885284543719828</v>
      </c>
      <c r="G31" s="44">
        <f>tabla_mortalidad_mujer_2021!G6</f>
        <v>98139.158828878994</v>
      </c>
      <c r="H31" s="45">
        <f>tabla_mortalidad_mujer_2021!F6</f>
        <v>0.99632433768458994</v>
      </c>
      <c r="I31" s="21">
        <f t="shared" si="12"/>
        <v>3.6756623154100554E-3</v>
      </c>
      <c r="J31" s="46">
        <f>tabla_mortalidad_mujer_2021!D6</f>
        <v>2.5</v>
      </c>
      <c r="K31" s="47">
        <f>tabla_mortalidad_mujer_2021!K6</f>
        <v>60.924576735400997</v>
      </c>
      <c r="L31" s="21">
        <f t="shared" si="13"/>
        <v>0.99695245718225034</v>
      </c>
      <c r="M31" s="24">
        <f t="shared" si="14"/>
        <v>3.04754281774966E-3</v>
      </c>
      <c r="N31" s="25">
        <f t="shared" si="20"/>
        <v>98170.007591869275</v>
      </c>
      <c r="O31" s="26">
        <f t="shared" si="15"/>
        <v>299.17730155503079</v>
      </c>
      <c r="P31" s="21">
        <f>(((-5/24)*O30)+((2.5)*O31)+((5/24)*O32))/O31</f>
        <v>2.68042813103304</v>
      </c>
      <c r="Q31" s="25">
        <f t="shared" si="16"/>
        <v>490156.07470682589</v>
      </c>
      <c r="R31" s="25">
        <f t="shared" si="17"/>
        <v>6075479.6753732823</v>
      </c>
      <c r="S31" s="18">
        <f t="shared" si="18"/>
        <v>61.887330197950106</v>
      </c>
      <c r="T31" s="28">
        <f t="shared" si="19"/>
        <v>0.96275346254910943</v>
      </c>
      <c r="U31" s="42"/>
      <c r="V31" s="29" t="s">
        <v>81</v>
      </c>
      <c r="W31" s="29" t="s">
        <v>82</v>
      </c>
    </row>
    <row r="32" spans="2:28">
      <c r="B32" s="15">
        <v>20</v>
      </c>
      <c r="C32" s="16">
        <v>5</v>
      </c>
      <c r="D32" s="43">
        <f>'Defunciones generales'!D102</f>
        <v>189</v>
      </c>
      <c r="E32" s="43">
        <f>Homicidios!N107</f>
        <v>60.586092715231786</v>
      </c>
      <c r="F32" s="18">
        <f t="shared" si="11"/>
        <v>0.67943866288237154</v>
      </c>
      <c r="G32" s="44">
        <f>tabla_mortalidad_mujer_2021!G7</f>
        <v>97778.432421105696</v>
      </c>
      <c r="H32" s="45">
        <f>tabla_mortalidad_mujer_2021!F7</f>
        <v>0.99405335899846203</v>
      </c>
      <c r="I32" s="21">
        <f t="shared" si="12"/>
        <v>5.9466410015379667E-3</v>
      </c>
      <c r="J32" s="46">
        <f>tabla_mortalidad_mujer_2021!D7</f>
        <v>2.5</v>
      </c>
      <c r="K32" s="47">
        <f>tabla_mortalidad_mujer_2021!K7</f>
        <v>56.140118007331701</v>
      </c>
      <c r="L32" s="21">
        <f t="shared" si="13"/>
        <v>0.99595576106206807</v>
      </c>
      <c r="M32" s="24">
        <f t="shared" si="14"/>
        <v>4.0442389379319321E-3</v>
      </c>
      <c r="N32" s="25">
        <f t="shared" si="20"/>
        <v>97870.830290314247</v>
      </c>
      <c r="O32" s="26">
        <f t="shared" si="15"/>
        <v>395.81302274781689</v>
      </c>
      <c r="P32" s="21">
        <f>(((-5/24)*O31)+((2.5)*O32)+((5/24)*O33))/O32</f>
        <v>2.5693082059588979</v>
      </c>
      <c r="Q32" s="25">
        <f t="shared" si="16"/>
        <v>488392.05198520352</v>
      </c>
      <c r="R32" s="25">
        <f t="shared" si="17"/>
        <v>5585323.6006664559</v>
      </c>
      <c r="S32" s="18">
        <f t="shared" si="18"/>
        <v>57.068317333149317</v>
      </c>
      <c r="T32" s="28">
        <f t="shared" si="19"/>
        <v>0.92819932581761577</v>
      </c>
      <c r="U32" s="53"/>
      <c r="V32" s="30">
        <f>([2]TV!M29-[2]TV!M47)/[2]TV!J29</f>
        <v>73.32569985958979</v>
      </c>
      <c r="W32" s="30">
        <f>(R27-R45)/N27</f>
        <v>73.175036009173141</v>
      </c>
    </row>
    <row r="33" spans="2:23">
      <c r="B33" s="15">
        <v>25</v>
      </c>
      <c r="C33" s="16">
        <v>5</v>
      </c>
      <c r="D33" s="43">
        <f>'Defunciones generales'!D103</f>
        <v>189</v>
      </c>
      <c r="E33" s="43">
        <f>Homicidios!N108</f>
        <v>53.145695364238414</v>
      </c>
      <c r="F33" s="18">
        <f t="shared" si="11"/>
        <v>0.71880584463365926</v>
      </c>
      <c r="G33" s="44">
        <f>tabla_mortalidad_mujer_2021!G8</f>
        <v>97196.979185804201</v>
      </c>
      <c r="H33" s="45">
        <f>tabla_mortalidad_mujer_2021!F8</f>
        <v>0.99385599754388798</v>
      </c>
      <c r="I33" s="21">
        <f t="shared" si="12"/>
        <v>6.1440024561120188E-3</v>
      </c>
      <c r="J33" s="46">
        <f>tabla_mortalidad_mujer_2021!D8</f>
        <v>2.5</v>
      </c>
      <c r="K33" s="47">
        <f>tabla_mortalidad_mujer_2021!K8</f>
        <v>51.461004730546598</v>
      </c>
      <c r="L33" s="21">
        <f t="shared" si="13"/>
        <v>0.99557983011399653</v>
      </c>
      <c r="M33" s="24">
        <f t="shared" si="14"/>
        <v>4.4201698860034666E-3</v>
      </c>
      <c r="N33" s="25">
        <f t="shared" si="20"/>
        <v>97475.017267566436</v>
      </c>
      <c r="O33" s="26">
        <f t="shared" si="15"/>
        <v>430.8561359637651</v>
      </c>
      <c r="P33" s="21">
        <f>(((-5/24)*O32)+((2.5)*O33)+((5/24)*O34))/O33</f>
        <v>2.585307192659243</v>
      </c>
      <c r="Q33" s="25">
        <f t="shared" si="16"/>
        <v>486334.70112532179</v>
      </c>
      <c r="R33" s="25">
        <f t="shared" si="17"/>
        <v>5096931.5486812526</v>
      </c>
      <c r="S33" s="18">
        <f t="shared" si="18"/>
        <v>52.289619346158261</v>
      </c>
      <c r="T33" s="28">
        <f t="shared" si="19"/>
        <v>0.82861461561166294</v>
      </c>
      <c r="V33" s="31" t="s">
        <v>83</v>
      </c>
      <c r="W33" s="30">
        <f>W32-V32</f>
        <v>-0.15066385041664887</v>
      </c>
    </row>
    <row r="34" spans="2:23">
      <c r="B34" s="15">
        <v>30</v>
      </c>
      <c r="C34" s="16">
        <v>5</v>
      </c>
      <c r="D34" s="43">
        <f>'Defunciones generales'!D104</f>
        <v>228</v>
      </c>
      <c r="E34" s="43">
        <f>Homicidios!N109</f>
        <v>60.586092715231786</v>
      </c>
      <c r="F34" s="18">
        <f t="shared" si="11"/>
        <v>0.73427152317880795</v>
      </c>
      <c r="G34" s="44">
        <f>tabla_mortalidad_mujer_2021!G9</f>
        <v>96599.800706959999</v>
      </c>
      <c r="H34" s="45">
        <f>tabla_mortalidad_mujer_2021!F9</f>
        <v>0.99197793633446296</v>
      </c>
      <c r="I34" s="21">
        <f t="shared" si="12"/>
        <v>8.0220636655370381E-3</v>
      </c>
      <c r="J34" s="46">
        <f>tabla_mortalidad_mujer_2021!D9</f>
        <v>2.5</v>
      </c>
      <c r="K34" s="47">
        <f>tabla_mortalidad_mujer_2021!K9</f>
        <v>46.763680907036502</v>
      </c>
      <c r="L34" s="21">
        <f t="shared" si="13"/>
        <v>0.99410332752026809</v>
      </c>
      <c r="M34" s="24">
        <f t="shared" si="14"/>
        <v>5.8966724797319126E-3</v>
      </c>
      <c r="N34" s="25">
        <f t="shared" si="20"/>
        <v>97044.161131602668</v>
      </c>
      <c r="O34" s="26">
        <f t="shared" si="15"/>
        <v>572.23763426339076</v>
      </c>
      <c r="P34" s="21">
        <f t="shared" ref="P34:P42" si="21">(((-5/24)*O33)+((2.5)*O34)+((5/24)*O35))/O34</f>
        <v>2.6314472396778843</v>
      </c>
      <c r="Q34" s="25">
        <f t="shared" si="16"/>
        <v>483865.43062981853</v>
      </c>
      <c r="R34" s="25">
        <f t="shared" si="17"/>
        <v>4610596.8475559307</v>
      </c>
      <c r="S34" s="18">
        <f t="shared" si="18"/>
        <v>47.510296279478872</v>
      </c>
      <c r="T34" s="28">
        <f t="shared" si="19"/>
        <v>0.74661537244237053</v>
      </c>
    </row>
    <row r="35" spans="2:23">
      <c r="B35" s="15">
        <v>35</v>
      </c>
      <c r="C35" s="16">
        <v>5</v>
      </c>
      <c r="D35" s="43">
        <f>'Defunciones generales'!D105</f>
        <v>265</v>
      </c>
      <c r="E35" s="43">
        <f>Homicidios!N110</f>
        <v>45.705298013245034</v>
      </c>
      <c r="F35" s="18">
        <f t="shared" si="11"/>
        <v>0.82752717730850933</v>
      </c>
      <c r="G35" s="44">
        <f>tabla_mortalidad_mujer_2021!G10</f>
        <v>95824.870955610604</v>
      </c>
      <c r="H35" s="45">
        <f>tabla_mortalidad_mujer_2021!F10</f>
        <v>0.99008896886769004</v>
      </c>
      <c r="I35" s="21">
        <f t="shared" si="12"/>
        <v>9.9110311323099554E-3</v>
      </c>
      <c r="J35" s="46">
        <f>tabla_mortalidad_mujer_2021!D10</f>
        <v>2.5</v>
      </c>
      <c r="K35" s="47">
        <f>tabla_mortalidad_mujer_2021!K10</f>
        <v>42.121638532202397</v>
      </c>
      <c r="L35" s="21">
        <f t="shared" si="13"/>
        <v>0.99179131520258856</v>
      </c>
      <c r="M35" s="24">
        <f t="shared" si="14"/>
        <v>8.2086847974114363E-3</v>
      </c>
      <c r="N35" s="25">
        <f t="shared" si="20"/>
        <v>96471.923497339274</v>
      </c>
      <c r="O35" s="26">
        <f t="shared" si="15"/>
        <v>791.90761178964806</v>
      </c>
      <c r="P35" s="21">
        <f t="shared" si="21"/>
        <v>2.683054926236756</v>
      </c>
      <c r="Q35" s="25">
        <f t="shared" si="16"/>
        <v>480524.81104668468</v>
      </c>
      <c r="R35" s="25">
        <f t="shared" si="17"/>
        <v>4126731.416926112</v>
      </c>
      <c r="S35" s="18">
        <f t="shared" si="18"/>
        <v>42.77650188077704</v>
      </c>
      <c r="T35" s="28">
        <f t="shared" si="19"/>
        <v>0.65486334857464357</v>
      </c>
    </row>
    <row r="36" spans="2:23">
      <c r="B36" s="15">
        <v>40</v>
      </c>
      <c r="C36" s="16">
        <v>5</v>
      </c>
      <c r="D36" s="43">
        <f>'Defunciones generales'!D106</f>
        <v>370</v>
      </c>
      <c r="E36" s="43">
        <f>Homicidios!N111</f>
        <v>24.44701986754967</v>
      </c>
      <c r="F36" s="18">
        <f t="shared" si="11"/>
        <v>0.93392697333094687</v>
      </c>
      <c r="G36" s="44">
        <f>tabla_mortalidad_mujer_2021!G11</f>
        <v>94875.147676319903</v>
      </c>
      <c r="H36" s="45">
        <f>tabla_mortalidad_mujer_2021!F11</f>
        <v>0.98581594225648395</v>
      </c>
      <c r="I36" s="21">
        <f t="shared" si="12"/>
        <v>1.4184057743516054E-2</v>
      </c>
      <c r="J36" s="46">
        <f>tabla_mortalidad_mujer_2021!D11</f>
        <v>2.5</v>
      </c>
      <c r="K36" s="47">
        <f>tabla_mortalidad_mujer_2021!K11</f>
        <v>37.518260760460301</v>
      </c>
      <c r="L36" s="21">
        <f t="shared" si="13"/>
        <v>0.9867468869863053</v>
      </c>
      <c r="M36" s="24">
        <f t="shared" si="14"/>
        <v>1.3253113013694695E-2</v>
      </c>
      <c r="N36" s="25">
        <f t="shared" si="20"/>
        <v>95680.015885549627</v>
      </c>
      <c r="O36" s="26">
        <f t="shared" si="15"/>
        <v>1268.0580636832929</v>
      </c>
      <c r="P36" s="21">
        <f t="shared" si="21"/>
        <v>2.6666247374562309</v>
      </c>
      <c r="Q36" s="25">
        <f t="shared" si="16"/>
        <v>475441.2241104804</v>
      </c>
      <c r="R36" s="25">
        <f t="shared" si="17"/>
        <v>3646206.6058794274</v>
      </c>
      <c r="S36" s="18">
        <f t="shared" si="18"/>
        <v>38.108340306307447</v>
      </c>
      <c r="T36" s="28">
        <f t="shared" si="19"/>
        <v>0.59007954584714639</v>
      </c>
    </row>
    <row r="37" spans="2:23">
      <c r="B37" s="15">
        <v>45</v>
      </c>
      <c r="C37" s="16">
        <v>5</v>
      </c>
      <c r="D37" s="43">
        <f>'Defunciones generales'!D107</f>
        <v>519</v>
      </c>
      <c r="E37" s="43">
        <f>Homicidios!N112</f>
        <v>17.006622516556291</v>
      </c>
      <c r="F37" s="18">
        <f t="shared" si="11"/>
        <v>0.96723194120124034</v>
      </c>
      <c r="G37" s="44">
        <f>tabla_mortalidad_mujer_2021!G12</f>
        <v>93529.4331032544</v>
      </c>
      <c r="H37" s="45">
        <f>tabla_mortalidad_mujer_2021!F12</f>
        <v>0.98022838003610402</v>
      </c>
      <c r="I37" s="21">
        <f t="shared" si="12"/>
        <v>1.9771619963895981E-2</v>
      </c>
      <c r="J37" s="46">
        <f>tabla_mortalidad_mujer_2021!D12</f>
        <v>2.5</v>
      </c>
      <c r="K37" s="47">
        <f>tabla_mortalidad_mujer_2021!K12</f>
        <v>33.022108397136698</v>
      </c>
      <c r="L37" s="21">
        <f t="shared" si="13"/>
        <v>0.98087002012486946</v>
      </c>
      <c r="M37" s="24">
        <f t="shared" si="14"/>
        <v>1.9129979875130543E-2</v>
      </c>
      <c r="N37" s="25">
        <f t="shared" si="20"/>
        <v>94411.957821866337</v>
      </c>
      <c r="O37" s="26">
        <f t="shared" si="15"/>
        <v>1806.0988531039766</v>
      </c>
      <c r="P37" s="21">
        <f t="shared" si="21"/>
        <v>2.6562321407517873</v>
      </c>
      <c r="Q37" s="25">
        <f t="shared" si="16"/>
        <v>467826.71266680153</v>
      </c>
      <c r="R37" s="25">
        <f t="shared" si="17"/>
        <v>3170765.381768947</v>
      </c>
      <c r="S37" s="18">
        <f t="shared" si="18"/>
        <v>33.584362139290157</v>
      </c>
      <c r="T37" s="28">
        <f t="shared" si="19"/>
        <v>0.5622537421534588</v>
      </c>
    </row>
    <row r="38" spans="2:23">
      <c r="B38" s="15">
        <v>50</v>
      </c>
      <c r="C38" s="16">
        <v>5</v>
      </c>
      <c r="D38" s="43">
        <f>'Defunciones generales'!D108</f>
        <v>692</v>
      </c>
      <c r="E38" s="43">
        <f>Homicidios!N113</f>
        <v>14.880794701986755</v>
      </c>
      <c r="F38" s="18">
        <f t="shared" si="11"/>
        <v>0.97849596141331396</v>
      </c>
      <c r="G38" s="44">
        <f>tabla_mortalidad_mujer_2021!G13</f>
        <v>91680.2046964982</v>
      </c>
      <c r="H38" s="45">
        <f>tabla_mortalidad_mujer_2021!F13</f>
        <v>0.97106804238740396</v>
      </c>
      <c r="I38" s="21">
        <f t="shared" si="12"/>
        <v>2.8931957612596038E-2</v>
      </c>
      <c r="J38" s="46">
        <f>tabla_mortalidad_mujer_2021!D13</f>
        <v>2.5</v>
      </c>
      <c r="K38" s="47">
        <f>tabla_mortalidad_mujer_2021!K13</f>
        <v>28.6377522001684</v>
      </c>
      <c r="L38" s="21">
        <f t="shared" si="13"/>
        <v>0.97168130174494838</v>
      </c>
      <c r="M38" s="24">
        <f t="shared" si="14"/>
        <v>2.8318698255051622E-2</v>
      </c>
      <c r="N38" s="25">
        <f t="shared" si="20"/>
        <v>92605.858968762361</v>
      </c>
      <c r="O38" s="26">
        <f t="shared" si="15"/>
        <v>2622.4773767862471</v>
      </c>
      <c r="P38" s="21">
        <f t="shared" si="21"/>
        <v>2.7089503185024988</v>
      </c>
      <c r="Q38" s="25">
        <f t="shared" si="16"/>
        <v>457021.06888499123</v>
      </c>
      <c r="R38" s="25">
        <f t="shared" si="17"/>
        <v>2702938.6691021454</v>
      </c>
      <c r="S38" s="18">
        <f t="shared" si="18"/>
        <v>29.187555724890967</v>
      </c>
      <c r="T38" s="28">
        <f t="shared" si="19"/>
        <v>0.54980352472256655</v>
      </c>
    </row>
    <row r="39" spans="2:23">
      <c r="B39" s="15">
        <v>55</v>
      </c>
      <c r="C39" s="16">
        <v>5</v>
      </c>
      <c r="D39" s="43">
        <f>'Defunciones generales'!D109</f>
        <v>966</v>
      </c>
      <c r="E39" s="43">
        <f>Homicidios!N114</f>
        <v>4.2516556291390728</v>
      </c>
      <c r="F39" s="18">
        <f t="shared" si="11"/>
        <v>0.99559870017687457</v>
      </c>
      <c r="G39" s="44">
        <f>tabla_mortalidad_mujer_2021!G14</f>
        <v>89027.716900304993</v>
      </c>
      <c r="H39" s="45">
        <f>tabla_mortalidad_mujer_2021!F14</f>
        <v>0.95048573470444397</v>
      </c>
      <c r="I39" s="21">
        <f t="shared" si="12"/>
        <v>4.9514265295556026E-2</v>
      </c>
      <c r="J39" s="46">
        <f>tabla_mortalidad_mujer_2021!D14</f>
        <v>2.5</v>
      </c>
      <c r="K39" s="47">
        <f>tabla_mortalidad_mujer_2021!K14</f>
        <v>24.4164992145224</v>
      </c>
      <c r="L39" s="21">
        <f t="shared" si="13"/>
        <v>0.95069819900393726</v>
      </c>
      <c r="M39" s="24">
        <f t="shared" si="14"/>
        <v>4.9301800996062739E-2</v>
      </c>
      <c r="N39" s="25">
        <f t="shared" si="20"/>
        <v>89983.381591976111</v>
      </c>
      <c r="O39" s="26">
        <f t="shared" si="15"/>
        <v>4436.3427722003817</v>
      </c>
      <c r="P39" s="21">
        <f t="shared" si="21"/>
        <v>2.6708503215196404</v>
      </c>
      <c r="Q39" s="25">
        <f t="shared" si="16"/>
        <v>439584.00161838136</v>
      </c>
      <c r="R39" s="25">
        <f t="shared" si="17"/>
        <v>2245917.6002171542</v>
      </c>
      <c r="S39" s="18">
        <f t="shared" si="18"/>
        <v>24.95924870217841</v>
      </c>
      <c r="T39" s="28">
        <f t="shared" si="19"/>
        <v>0.54274948765601039</v>
      </c>
    </row>
    <row r="40" spans="2:23">
      <c r="B40" s="15">
        <v>60</v>
      </c>
      <c r="C40" s="16">
        <v>5</v>
      </c>
      <c r="D40" s="43">
        <f>'Defunciones generales'!D110</f>
        <v>1201</v>
      </c>
      <c r="E40" s="43">
        <f>Homicidios!N115</f>
        <v>3.1887417218543046</v>
      </c>
      <c r="F40" s="18">
        <f t="shared" si="11"/>
        <v>0.99734492779196149</v>
      </c>
      <c r="G40" s="44">
        <f>tabla_mortalidad_mujer_2021!G15</f>
        <v>84619.574907045593</v>
      </c>
      <c r="H40" s="45">
        <f>tabla_mortalidad_mujer_2021!F15</f>
        <v>0.92662890429059597</v>
      </c>
      <c r="I40" s="21">
        <f t="shared" si="12"/>
        <v>7.3371095709404033E-2</v>
      </c>
      <c r="J40" s="46">
        <f>tabla_mortalidad_mujer_2021!D15</f>
        <v>2.5</v>
      </c>
      <c r="K40" s="47">
        <f>tabla_mortalidad_mujer_2021!K15</f>
        <v>20.558209517828701</v>
      </c>
      <c r="L40" s="21">
        <f t="shared" si="13"/>
        <v>0.9268164007735652</v>
      </c>
      <c r="M40" s="24">
        <f t="shared" si="14"/>
        <v>7.3183599226434803E-2</v>
      </c>
      <c r="N40" s="25">
        <f t="shared" si="20"/>
        <v>85547.038819775727</v>
      </c>
      <c r="O40" s="26">
        <f t="shared" si="15"/>
        <v>6260.640203994727</v>
      </c>
      <c r="P40" s="21">
        <f t="shared" si="21"/>
        <v>2.6330497342569852</v>
      </c>
      <c r="Q40" s="25">
        <f t="shared" si="16"/>
        <v>412916.57010431192</v>
      </c>
      <c r="R40" s="25">
        <f t="shared" si="17"/>
        <v>1806333.5985987727</v>
      </c>
      <c r="S40" s="18">
        <f t="shared" si="18"/>
        <v>21.115092041984351</v>
      </c>
      <c r="T40" s="28">
        <f t="shared" si="19"/>
        <v>0.55688252415565032</v>
      </c>
    </row>
    <row r="41" spans="2:23">
      <c r="B41" s="15">
        <v>65</v>
      </c>
      <c r="C41" s="16">
        <v>5</v>
      </c>
      <c r="D41" s="43">
        <f>'Defunciones generales'!D111</f>
        <v>1272</v>
      </c>
      <c r="E41" s="43">
        <f>Homicidios!N116</f>
        <v>2.1258278145695364</v>
      </c>
      <c r="F41" s="18">
        <f t="shared" si="11"/>
        <v>0.99832875171810576</v>
      </c>
      <c r="G41" s="44">
        <f>tabla_mortalidad_mujer_2021!G16</f>
        <v>78410.943977651696</v>
      </c>
      <c r="H41" s="45">
        <f>tabla_mortalidad_mujer_2021!F16</f>
        <v>0.89344995236754499</v>
      </c>
      <c r="I41" s="21">
        <f t="shared" si="12"/>
        <v>0.10655004763245501</v>
      </c>
      <c r="J41" s="46">
        <f>tabla_mortalidad_mujer_2021!D16</f>
        <v>2.5</v>
      </c>
      <c r="K41" s="47">
        <f>tabla_mortalidad_mujer_2021!K16</f>
        <v>16.988070611884901</v>
      </c>
      <c r="L41" s="21">
        <f t="shared" si="13"/>
        <v>0.89361819689792255</v>
      </c>
      <c r="M41" s="24">
        <f t="shared" si="14"/>
        <v>0.10638180310207745</v>
      </c>
      <c r="N41" s="25">
        <f t="shared" si="20"/>
        <v>79286.398615781</v>
      </c>
      <c r="O41" s="26">
        <f t="shared" si="15"/>
        <v>8434.6300462168401</v>
      </c>
      <c r="P41" s="21">
        <f t="shared" si="21"/>
        <v>2.6167735439851731</v>
      </c>
      <c r="Q41" s="25">
        <f t="shared" si="16"/>
        <v>376330.35960606346</v>
      </c>
      <c r="R41" s="25">
        <f t="shared" si="17"/>
        <v>1393417.0284944607</v>
      </c>
      <c r="S41" s="18">
        <f t="shared" si="18"/>
        <v>17.574477499563436</v>
      </c>
      <c r="T41" s="28">
        <f t="shared" si="19"/>
        <v>0.58640688767853533</v>
      </c>
    </row>
    <row r="42" spans="2:23">
      <c r="B42" s="15">
        <v>70</v>
      </c>
      <c r="C42" s="16">
        <v>5</v>
      </c>
      <c r="D42" s="43">
        <f>'Defunciones generales'!D112</f>
        <v>1402</v>
      </c>
      <c r="E42" s="43">
        <f>Homicidios!N117</f>
        <v>2.1258278145695364</v>
      </c>
      <c r="F42" s="18">
        <f t="shared" si="11"/>
        <v>0.99848371767862376</v>
      </c>
      <c r="G42" s="44">
        <f>tabla_mortalidad_mujer_2021!G17</f>
        <v>70056.254161927107</v>
      </c>
      <c r="H42" s="45">
        <f>tabla_mortalidad_mujer_2021!F17</f>
        <v>0.84469437363027799</v>
      </c>
      <c r="I42" s="21">
        <f t="shared" si="12"/>
        <v>0.15530562636972201</v>
      </c>
      <c r="J42" s="46">
        <f>tabla_mortalidad_mujer_2021!D17</f>
        <v>2.5</v>
      </c>
      <c r="K42" s="47">
        <f>tabla_mortalidad_mujer_2021!K17</f>
        <v>13.7158726109875</v>
      </c>
      <c r="L42" s="21">
        <f t="shared" si="13"/>
        <v>0.84491057441750717</v>
      </c>
      <c r="M42" s="24">
        <f t="shared" si="14"/>
        <v>0.15508942558249283</v>
      </c>
      <c r="N42" s="25">
        <f t="shared" si="20"/>
        <v>70851.768569564156</v>
      </c>
      <c r="O42" s="26">
        <f t="shared" si="15"/>
        <v>10988.360088957425</v>
      </c>
      <c r="P42" s="21">
        <f t="shared" si="21"/>
        <v>2.6039412127498167</v>
      </c>
      <c r="Q42" s="25">
        <f t="shared" si="16"/>
        <v>327930.08609920513</v>
      </c>
      <c r="R42" s="25">
        <f t="shared" si="17"/>
        <v>1017086.6688883973</v>
      </c>
      <c r="S42" s="18">
        <f t="shared" si="18"/>
        <v>14.355134521304073</v>
      </c>
      <c r="T42" s="28">
        <f t="shared" si="19"/>
        <v>0.63926191031657353</v>
      </c>
    </row>
    <row r="43" spans="2:23">
      <c r="B43" s="15">
        <v>75</v>
      </c>
      <c r="C43" s="16">
        <v>5</v>
      </c>
      <c r="D43" s="43">
        <f>'Defunciones generales'!D113</f>
        <v>1487</v>
      </c>
      <c r="E43" s="43">
        <f>Homicidios!N118</f>
        <v>2.1258278145695364</v>
      </c>
      <c r="F43" s="18">
        <f t="shared" si="11"/>
        <v>0.99857039151676563</v>
      </c>
      <c r="G43" s="44">
        <f>tabla_mortalidad_mujer_2021!G18</f>
        <v>59176.123728192601</v>
      </c>
      <c r="H43" s="45">
        <f>tabla_mortalidad_mujer_2021!F18</f>
        <v>0.76723143149225204</v>
      </c>
      <c r="I43" s="21">
        <f t="shared" si="12"/>
        <v>0.23276856850774796</v>
      </c>
      <c r="J43" s="46">
        <f>tabla_mortalidad_mujer_2021!D18</f>
        <v>2.5</v>
      </c>
      <c r="K43" s="47">
        <f>tabla_mortalidad_mujer_2021!K18</f>
        <v>10.778024527125201</v>
      </c>
      <c r="L43" s="21">
        <f t="shared" si="13"/>
        <v>0.76752211286366412</v>
      </c>
      <c r="M43" s="24">
        <f t="shared" si="14"/>
        <v>0.23247788713633588</v>
      </c>
      <c r="N43" s="25">
        <f t="shared" si="20"/>
        <v>59863.408480606733</v>
      </c>
      <c r="O43" s="26">
        <f t="shared" si="15"/>
        <v>13916.918720350865</v>
      </c>
      <c r="P43" s="21">
        <f>(((-5/24)*O42)+((2.5)*O43)+((5/24)*O44))/O43</f>
        <v>2.5745514302677384</v>
      </c>
      <c r="Q43" s="25">
        <f t="shared" si="16"/>
        <v>265562.27179767855</v>
      </c>
      <c r="R43" s="25">
        <f t="shared" si="17"/>
        <v>689156.58278919209</v>
      </c>
      <c r="S43" s="18">
        <f t="shared" si="18"/>
        <v>11.512150749191809</v>
      </c>
      <c r="T43" s="28">
        <f t="shared" si="19"/>
        <v>0.73412622206660849</v>
      </c>
    </row>
    <row r="44" spans="2:23">
      <c r="B44" s="15">
        <v>80</v>
      </c>
      <c r="C44" s="16">
        <v>5</v>
      </c>
      <c r="D44" s="43">
        <f>'Defunciones generales'!D114</f>
        <v>1519</v>
      </c>
      <c r="E44" s="43">
        <f>Homicidios!N119</f>
        <v>0</v>
      </c>
      <c r="F44" s="18">
        <f t="shared" si="11"/>
        <v>1</v>
      </c>
      <c r="G44" s="44">
        <f>tabla_mortalidad_mujer_2021!G19</f>
        <v>45401.782118143798</v>
      </c>
      <c r="H44" s="45">
        <f>tabla_mortalidad_mujer_2021!F19</f>
        <v>0.65245471611030403</v>
      </c>
      <c r="I44" s="21">
        <f t="shared" si="12"/>
        <v>0.34754528388969597</v>
      </c>
      <c r="J44" s="46">
        <f>tabla_mortalidad_mujer_2021!D19</f>
        <v>2.5</v>
      </c>
      <c r="K44" s="47">
        <f>tabla_mortalidad_mujer_2021!K19</f>
        <v>8.2894752317753309</v>
      </c>
      <c r="L44" s="21">
        <f t="shared" si="13"/>
        <v>0.65245471611030403</v>
      </c>
      <c r="M44" s="24">
        <f t="shared" si="14"/>
        <v>0.34754528388969597</v>
      </c>
      <c r="N44" s="25">
        <f t="shared" si="20"/>
        <v>45946.48976025587</v>
      </c>
      <c r="O44" s="26">
        <f t="shared" si="15"/>
        <v>15968.485827463135</v>
      </c>
      <c r="P44" s="26">
        <f>C44+(F44*(I44/M44)*(J44-C44))</f>
        <v>2.5</v>
      </c>
      <c r="Q44" s="25">
        <f t="shared" si="16"/>
        <v>189811.2342326215</v>
      </c>
      <c r="R44" s="25">
        <f t="shared" si="17"/>
        <v>423594.31099151354</v>
      </c>
      <c r="S44" s="18">
        <f t="shared" si="18"/>
        <v>9.2192964729576889</v>
      </c>
      <c r="T44" s="28">
        <f t="shared" si="19"/>
        <v>0.92982124118235809</v>
      </c>
    </row>
    <row r="45" spans="2:23">
      <c r="B45" s="32">
        <v>85</v>
      </c>
      <c r="C45" s="33">
        <v>5</v>
      </c>
      <c r="D45" s="43">
        <f>'Defunciones generales'!D115</f>
        <v>2155</v>
      </c>
      <c r="E45" s="43">
        <f>Homicidios!N120</f>
        <v>1.0629139072847682</v>
      </c>
      <c r="F45" s="34">
        <f t="shared" si="11"/>
        <v>0.99950676848849895</v>
      </c>
      <c r="G45" s="44">
        <f>tabla_mortalidad_mujer_2021!G20</f>
        <v>29622.606862795401</v>
      </c>
      <c r="H45" s="45">
        <f>tabla_mortalidad_mujer_2021!F20</f>
        <v>0</v>
      </c>
      <c r="I45" s="35">
        <f t="shared" si="12"/>
        <v>1</v>
      </c>
      <c r="J45" s="46">
        <f>tabla_mortalidad_mujer_2021!D20</f>
        <v>0</v>
      </c>
      <c r="K45" s="47">
        <f>tabla_mortalidad_mujer_2021!K20</f>
        <v>6.3733747934110401</v>
      </c>
      <c r="L45" s="35">
        <f t="shared" si="13"/>
        <v>0</v>
      </c>
      <c r="M45" s="37">
        <f t="shared" si="14"/>
        <v>1</v>
      </c>
      <c r="N45" s="38">
        <f t="shared" si="20"/>
        <v>29978.003932792733</v>
      </c>
      <c r="O45" s="39">
        <f t="shared" si="15"/>
        <v>29978.003932792733</v>
      </c>
      <c r="P45" s="35">
        <f>K45/F45</f>
        <v>6.3765198939564529</v>
      </c>
      <c r="Q45" s="54">
        <f>N45/[1]LT!E96</f>
        <v>233783.07675889207</v>
      </c>
      <c r="R45" s="38">
        <f>Q45</f>
        <v>233783.07675889207</v>
      </c>
      <c r="S45" s="34">
        <f t="shared" si="18"/>
        <v>7.7984870935038595</v>
      </c>
      <c r="T45" s="40">
        <f t="shared" si="19"/>
        <v>1.4251123000928194</v>
      </c>
    </row>
  </sheetData>
  <mergeCells count="4">
    <mergeCell ref="B2:T2"/>
    <mergeCell ref="V5:W7"/>
    <mergeCell ref="B24:T24"/>
    <mergeCell ref="V28:W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/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1</v>
      </c>
      <c r="C2">
        <v>1.6930892999999999E-2</v>
      </c>
      <c r="D2">
        <v>9.0442516811999996E-2</v>
      </c>
      <c r="E2">
        <v>1.6674117913211401E-2</v>
      </c>
      <c r="F2">
        <v>0.98332588208678895</v>
      </c>
      <c r="G2" s="1">
        <v>100000</v>
      </c>
      <c r="H2">
        <v>1667.4117913211401</v>
      </c>
      <c r="I2">
        <v>98483.393127648</v>
      </c>
      <c r="J2">
        <v>6249461.6898887902</v>
      </c>
      <c r="K2">
        <v>62.494616898887898</v>
      </c>
      <c r="L2" t="s">
        <v>12</v>
      </c>
    </row>
    <row r="3" spans="1:12">
      <c r="A3">
        <v>1</v>
      </c>
      <c r="B3">
        <v>4</v>
      </c>
      <c r="C3">
        <v>8.2573499999999997E-4</v>
      </c>
      <c r="D3">
        <v>1.603322605312</v>
      </c>
      <c r="E3">
        <v>3.2964163248182599E-3</v>
      </c>
      <c r="F3">
        <v>0.99670358367518197</v>
      </c>
      <c r="G3">
        <v>98332.588208678906</v>
      </c>
      <c r="H3">
        <v>324.14514903271601</v>
      </c>
      <c r="I3">
        <v>392553.48148343101</v>
      </c>
      <c r="J3">
        <v>6150978.2967611402</v>
      </c>
      <c r="K3">
        <v>62.552795658217597</v>
      </c>
      <c r="L3" t="s">
        <v>12</v>
      </c>
    </row>
    <row r="4" spans="1:12">
      <c r="A4">
        <v>5</v>
      </c>
      <c r="B4">
        <v>5</v>
      </c>
      <c r="C4">
        <v>3.8685E-4</v>
      </c>
      <c r="D4">
        <v>2.5</v>
      </c>
      <c r="E4">
        <v>1.9323811458842901E-3</v>
      </c>
      <c r="F4">
        <v>0.99806761885411599</v>
      </c>
      <c r="G4">
        <v>98008.443059646204</v>
      </c>
      <c r="H4">
        <v>189.38966750593701</v>
      </c>
      <c r="I4">
        <v>489568.74112946598</v>
      </c>
      <c r="J4">
        <v>5758424.8152777096</v>
      </c>
      <c r="K4">
        <v>58.754374985563601</v>
      </c>
      <c r="L4" t="s">
        <v>12</v>
      </c>
    </row>
    <row r="5" spans="1:12">
      <c r="A5">
        <v>10</v>
      </c>
      <c r="B5">
        <v>5</v>
      </c>
      <c r="C5">
        <v>7.0610099999999999E-4</v>
      </c>
      <c r="D5">
        <v>2.5</v>
      </c>
      <c r="E5">
        <v>3.5242837493008401E-3</v>
      </c>
      <c r="F5">
        <v>0.99647571625069897</v>
      </c>
      <c r="G5">
        <v>97819.053392140195</v>
      </c>
      <c r="H5">
        <v>344.7421002419</v>
      </c>
      <c r="I5">
        <v>488233.411710096</v>
      </c>
      <c r="J5">
        <v>5268856.0741482396</v>
      </c>
      <c r="K5">
        <v>53.863290345146602</v>
      </c>
      <c r="L5" t="s">
        <v>12</v>
      </c>
    </row>
    <row r="6" spans="1:12">
      <c r="A6">
        <v>15</v>
      </c>
      <c r="B6">
        <v>5</v>
      </c>
      <c r="C6">
        <v>4.5940540000000002E-3</v>
      </c>
      <c r="D6">
        <v>2.5</v>
      </c>
      <c r="E6">
        <v>2.27094489134534E-2</v>
      </c>
      <c r="F6">
        <v>0.97729055108654705</v>
      </c>
      <c r="G6">
        <v>97474.311291898295</v>
      </c>
      <c r="H6">
        <v>2213.5878926574201</v>
      </c>
      <c r="I6">
        <v>481837.58672784799</v>
      </c>
      <c r="J6">
        <v>4780622.6624381496</v>
      </c>
      <c r="K6">
        <v>49.044949372578898</v>
      </c>
      <c r="L6" t="s">
        <v>12</v>
      </c>
    </row>
    <row r="7" spans="1:12">
      <c r="A7">
        <v>20</v>
      </c>
      <c r="B7">
        <v>5</v>
      </c>
      <c r="C7">
        <v>8.6567940000000006E-3</v>
      </c>
      <c r="D7">
        <v>2.5</v>
      </c>
      <c r="E7">
        <v>4.2367062665303497E-2</v>
      </c>
      <c r="F7">
        <v>0.95763293733469701</v>
      </c>
      <c r="G7">
        <v>95260.723399240902</v>
      </c>
      <c r="H7">
        <v>4035.9170377977698</v>
      </c>
      <c r="I7">
        <v>466213.82440171001</v>
      </c>
      <c r="J7">
        <v>4298785.0757103004</v>
      </c>
      <c r="K7">
        <v>45.1265214278706</v>
      </c>
      <c r="L7" t="s">
        <v>12</v>
      </c>
    </row>
    <row r="8" spans="1:12">
      <c r="A8">
        <v>25</v>
      </c>
      <c r="B8">
        <v>5</v>
      </c>
      <c r="C8">
        <v>1.0769674E-2</v>
      </c>
      <c r="D8">
        <v>2.5</v>
      </c>
      <c r="E8">
        <v>5.24365584008522E-2</v>
      </c>
      <c r="F8">
        <v>0.94756344159914796</v>
      </c>
      <c r="G8">
        <v>91224.806361443101</v>
      </c>
      <c r="H8">
        <v>4783.5148863782397</v>
      </c>
      <c r="I8">
        <v>444165.24459126999</v>
      </c>
      <c r="J8">
        <v>3832571.2513085902</v>
      </c>
      <c r="K8">
        <v>42.012380230477099</v>
      </c>
      <c r="L8" t="s">
        <v>12</v>
      </c>
    </row>
    <row r="9" spans="1:12">
      <c r="A9">
        <v>30</v>
      </c>
      <c r="B9">
        <v>5</v>
      </c>
      <c r="C9">
        <v>1.1507236000000001E-2</v>
      </c>
      <c r="D9">
        <v>2.5</v>
      </c>
      <c r="E9">
        <v>5.5927259563426E-2</v>
      </c>
      <c r="F9">
        <v>0.94407274043657397</v>
      </c>
      <c r="G9">
        <v>86441.291475064907</v>
      </c>
      <c r="H9">
        <v>4834.4245453237199</v>
      </c>
      <c r="I9">
        <v>420120.396012015</v>
      </c>
      <c r="J9">
        <v>3388406.0067173201</v>
      </c>
      <c r="K9">
        <v>39.198928531681503</v>
      </c>
      <c r="L9" t="s">
        <v>12</v>
      </c>
    </row>
    <row r="10" spans="1:12">
      <c r="A10">
        <v>35</v>
      </c>
      <c r="B10">
        <v>5</v>
      </c>
      <c r="C10">
        <v>9.5477180000000002E-3</v>
      </c>
      <c r="D10">
        <v>2.5</v>
      </c>
      <c r="E10">
        <v>4.6625668171834403E-2</v>
      </c>
      <c r="F10">
        <v>0.953374331828166</v>
      </c>
      <c r="G10">
        <v>81606.866929741198</v>
      </c>
      <c r="H10">
        <v>3804.97469800914</v>
      </c>
      <c r="I10">
        <v>398521.89790368301</v>
      </c>
      <c r="J10">
        <v>2968285.61070531</v>
      </c>
      <c r="K10">
        <v>36.372988234688997</v>
      </c>
      <c r="L10" t="s">
        <v>12</v>
      </c>
    </row>
    <row r="11" spans="1:12">
      <c r="A11">
        <v>40</v>
      </c>
      <c r="B11">
        <v>5</v>
      </c>
      <c r="C11">
        <v>9.2360680000000001E-3</v>
      </c>
      <c r="D11">
        <v>2.5</v>
      </c>
      <c r="E11">
        <v>4.5138093742020803E-2</v>
      </c>
      <c r="F11">
        <v>0.95486190625797895</v>
      </c>
      <c r="G11">
        <v>77801.892231731996</v>
      </c>
      <c r="H11">
        <v>3511.8291048625401</v>
      </c>
      <c r="I11">
        <v>380229.88839650399</v>
      </c>
      <c r="J11">
        <v>2569763.7128016199</v>
      </c>
      <c r="K11">
        <v>33.029578575641999</v>
      </c>
      <c r="L11" t="s">
        <v>12</v>
      </c>
    </row>
    <row r="12" spans="1:12">
      <c r="A12">
        <v>45</v>
      </c>
      <c r="B12">
        <v>5</v>
      </c>
      <c r="C12">
        <v>8.8927810000000006E-3</v>
      </c>
      <c r="D12">
        <v>2.5</v>
      </c>
      <c r="E12">
        <v>4.3496884333597503E-2</v>
      </c>
      <c r="F12">
        <v>0.956503115666403</v>
      </c>
      <c r="G12">
        <v>74290.0631268695</v>
      </c>
      <c r="H12">
        <v>3231.3862829650802</v>
      </c>
      <c r="I12">
        <v>363371.84992693498</v>
      </c>
      <c r="J12">
        <v>2189533.8244051202</v>
      </c>
      <c r="K12">
        <v>29.472768392536199</v>
      </c>
      <c r="L12" t="s">
        <v>12</v>
      </c>
    </row>
    <row r="13" spans="1:12">
      <c r="A13">
        <v>50</v>
      </c>
      <c r="B13">
        <v>5</v>
      </c>
      <c r="C13">
        <v>1.0685093E-2</v>
      </c>
      <c r="D13">
        <v>2.5</v>
      </c>
      <c r="E13">
        <v>5.2035455788993101E-2</v>
      </c>
      <c r="F13">
        <v>0.94796454421100695</v>
      </c>
      <c r="G13">
        <v>71058.676843904395</v>
      </c>
      <c r="H13">
        <v>3697.5706373353501</v>
      </c>
      <c r="I13">
        <v>346049.45762618398</v>
      </c>
      <c r="J13">
        <v>1826161.9744781801</v>
      </c>
      <c r="K13">
        <v>25.699352360440699</v>
      </c>
      <c r="L13" t="s">
        <v>12</v>
      </c>
    </row>
    <row r="14" spans="1:12">
      <c r="A14">
        <v>55</v>
      </c>
      <c r="B14">
        <v>5</v>
      </c>
      <c r="C14">
        <v>1.5013179E-2</v>
      </c>
      <c r="D14">
        <v>2.5</v>
      </c>
      <c r="E14">
        <v>7.2350372275768099E-2</v>
      </c>
      <c r="F14">
        <v>0.92764962772423198</v>
      </c>
      <c r="G14">
        <v>67361.106206569093</v>
      </c>
      <c r="H14">
        <v>4873.6011109528299</v>
      </c>
      <c r="I14">
        <v>324621.528255463</v>
      </c>
      <c r="J14">
        <v>1480112.516852</v>
      </c>
      <c r="K14">
        <v>21.9728059737187</v>
      </c>
      <c r="L14" t="s">
        <v>12</v>
      </c>
    </row>
    <row r="15" spans="1:12">
      <c r="A15">
        <v>60</v>
      </c>
      <c r="B15">
        <v>5</v>
      </c>
      <c r="C15">
        <v>1.9285416E-2</v>
      </c>
      <c r="D15">
        <v>2.5</v>
      </c>
      <c r="E15">
        <v>9.1991828306281997E-2</v>
      </c>
      <c r="F15">
        <v>0.90800817169371795</v>
      </c>
      <c r="G15">
        <v>62487.505095616201</v>
      </c>
      <c r="H15">
        <v>5748.33984004384</v>
      </c>
      <c r="I15">
        <v>298066.67587797198</v>
      </c>
      <c r="J15">
        <v>1155490.9885965399</v>
      </c>
      <c r="K15">
        <v>18.491552620455</v>
      </c>
      <c r="L15" t="s">
        <v>12</v>
      </c>
    </row>
    <row r="16" spans="1:12">
      <c r="A16">
        <v>65</v>
      </c>
      <c r="B16">
        <v>5</v>
      </c>
      <c r="C16">
        <v>3.2266562999999998E-2</v>
      </c>
      <c r="D16">
        <v>2.5</v>
      </c>
      <c r="E16">
        <v>0.149290117542587</v>
      </c>
      <c r="F16">
        <v>0.85070988245741297</v>
      </c>
      <c r="G16">
        <v>56739.165255572399</v>
      </c>
      <c r="H16">
        <v>8470.5966502726696</v>
      </c>
      <c r="I16">
        <v>262519.33465218003</v>
      </c>
      <c r="J16">
        <v>857424.31271856604</v>
      </c>
      <c r="K16">
        <v>15.1116835938004</v>
      </c>
      <c r="L16" t="s">
        <v>12</v>
      </c>
    </row>
    <row r="17" spans="1:12">
      <c r="A17">
        <v>70</v>
      </c>
      <c r="B17">
        <v>5</v>
      </c>
      <c r="C17">
        <v>4.2344112000000003E-2</v>
      </c>
      <c r="D17">
        <v>2.5</v>
      </c>
      <c r="E17">
        <v>0.19145326387886899</v>
      </c>
      <c r="F17">
        <v>0.80854673612113104</v>
      </c>
      <c r="G17">
        <v>48268.568605299697</v>
      </c>
      <c r="H17">
        <v>9241.1750022457309</v>
      </c>
      <c r="I17">
        <v>218239.905520884</v>
      </c>
      <c r="J17">
        <v>594904.97806638503</v>
      </c>
      <c r="K17">
        <v>12.3248937197832</v>
      </c>
      <c r="L17" t="s">
        <v>12</v>
      </c>
    </row>
    <row r="18" spans="1:12">
      <c r="A18">
        <v>75</v>
      </c>
      <c r="B18">
        <v>5</v>
      </c>
      <c r="C18">
        <v>6.6454772999999995E-2</v>
      </c>
      <c r="D18">
        <v>2.5</v>
      </c>
      <c r="E18">
        <v>0.284935547223996</v>
      </c>
      <c r="F18">
        <v>0.71506445277600394</v>
      </c>
      <c r="G18">
        <v>39027.393603053999</v>
      </c>
      <c r="H18">
        <v>11120.2917530125</v>
      </c>
      <c r="I18">
        <v>167336.238632739</v>
      </c>
      <c r="J18">
        <v>376665.072545501</v>
      </c>
      <c r="K18">
        <v>9.6512997095462207</v>
      </c>
      <c r="L18" t="s">
        <v>12</v>
      </c>
    </row>
    <row r="19" spans="1:12">
      <c r="A19">
        <v>80</v>
      </c>
      <c r="B19">
        <v>5</v>
      </c>
      <c r="C19">
        <v>9.8235395000000003E-2</v>
      </c>
      <c r="D19">
        <v>2.5</v>
      </c>
      <c r="E19">
        <v>0.39433326490182402</v>
      </c>
      <c r="F19">
        <v>0.60566673509817603</v>
      </c>
      <c r="G19">
        <v>27907.101850041501</v>
      </c>
      <c r="H19">
        <v>11004.6985864746</v>
      </c>
      <c r="I19">
        <v>112023.762784021</v>
      </c>
      <c r="J19">
        <v>209328.833912762</v>
      </c>
      <c r="K19">
        <v>7.5009162555677902</v>
      </c>
      <c r="L19" t="s">
        <v>12</v>
      </c>
    </row>
    <row r="20" spans="1:12">
      <c r="A20">
        <v>85</v>
      </c>
      <c r="C20">
        <v>0.173705266</v>
      </c>
      <c r="E20">
        <v>1</v>
      </c>
      <c r="F20">
        <v>0</v>
      </c>
      <c r="G20">
        <v>16902.403263566899</v>
      </c>
      <c r="H20">
        <v>16902.403263566899</v>
      </c>
      <c r="I20">
        <v>97305.071128741096</v>
      </c>
      <c r="J20">
        <v>97305.071128741096</v>
      </c>
      <c r="K20">
        <v>5.7568778599953303</v>
      </c>
      <c r="L20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/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1</v>
      </c>
      <c r="C2">
        <v>1.3343795E-2</v>
      </c>
      <c r="D2">
        <v>9.0362626000000001E-2</v>
      </c>
      <c r="E2">
        <v>1.31837702042114E-2</v>
      </c>
      <c r="F2">
        <v>0.98681622979578898</v>
      </c>
      <c r="G2" s="1">
        <v>100000</v>
      </c>
      <c r="H2">
        <v>1318.3770204211501</v>
      </c>
      <c r="I2">
        <v>98800.754989202207</v>
      </c>
      <c r="J2">
        <v>7507861.2704422101</v>
      </c>
      <c r="K2">
        <v>75.078612704422099</v>
      </c>
      <c r="L2" t="s">
        <v>13</v>
      </c>
    </row>
    <row r="3" spans="1:12">
      <c r="A3">
        <v>1</v>
      </c>
      <c r="B3">
        <v>4</v>
      </c>
      <c r="C3">
        <v>5.5902999999999997E-4</v>
      </c>
      <c r="D3">
        <v>1.5017441191900001</v>
      </c>
      <c r="E3">
        <v>2.2330013902917001E-3</v>
      </c>
      <c r="F3">
        <v>0.99776699860970797</v>
      </c>
      <c r="G3">
        <v>98681.622979578897</v>
      </c>
      <c r="H3">
        <v>220.35620130965299</v>
      </c>
      <c r="I3">
        <v>394175.98574252101</v>
      </c>
      <c r="J3">
        <v>7409060.5154529996</v>
      </c>
      <c r="K3">
        <v>75.080448534842503</v>
      </c>
      <c r="L3" t="s">
        <v>13</v>
      </c>
    </row>
    <row r="4" spans="1:12">
      <c r="A4">
        <v>5</v>
      </c>
      <c r="B4">
        <v>5</v>
      </c>
      <c r="C4">
        <v>2.4168599999999999E-4</v>
      </c>
      <c r="D4">
        <v>2.5</v>
      </c>
      <c r="E4">
        <v>1.2077002893696601E-3</v>
      </c>
      <c r="F4">
        <v>0.99879229971062999</v>
      </c>
      <c r="G4">
        <v>98461.266778269201</v>
      </c>
      <c r="H4">
        <v>118.911700379816</v>
      </c>
      <c r="I4">
        <v>492009.05464039702</v>
      </c>
      <c r="J4">
        <v>7014884.52971048</v>
      </c>
      <c r="K4">
        <v>71.245117590328405</v>
      </c>
      <c r="L4" t="s">
        <v>13</v>
      </c>
    </row>
    <row r="5" spans="1:12">
      <c r="A5">
        <v>10</v>
      </c>
      <c r="B5">
        <v>5</v>
      </c>
      <c r="C5">
        <v>3.4568400000000002E-4</v>
      </c>
      <c r="D5">
        <v>2.5</v>
      </c>
      <c r="E5">
        <v>1.7269275719230699E-3</v>
      </c>
      <c r="F5">
        <v>0.99827307242807695</v>
      </c>
      <c r="G5">
        <v>98342.355077889399</v>
      </c>
      <c r="H5">
        <v>169.83012447184601</v>
      </c>
      <c r="I5">
        <v>491287.20007826702</v>
      </c>
      <c r="J5">
        <v>6522875.47507009</v>
      </c>
      <c r="K5">
        <v>66.328241477477604</v>
      </c>
      <c r="L5" t="s">
        <v>13</v>
      </c>
    </row>
    <row r="6" spans="1:12">
      <c r="A6">
        <v>15</v>
      </c>
      <c r="B6">
        <v>5</v>
      </c>
      <c r="C6">
        <v>1.1672060000000001E-3</v>
      </c>
      <c r="D6">
        <v>2.5</v>
      </c>
      <c r="E6">
        <v>5.81904992503301E-3</v>
      </c>
      <c r="F6">
        <v>0.99418095007496698</v>
      </c>
      <c r="G6">
        <v>98172.524953417596</v>
      </c>
      <c r="H6">
        <v>571.27082397048105</v>
      </c>
      <c r="I6">
        <v>489434.44770716201</v>
      </c>
      <c r="J6">
        <v>6031588.2749918196</v>
      </c>
      <c r="K6">
        <v>61.438658910461797</v>
      </c>
      <c r="L6" t="s">
        <v>13</v>
      </c>
    </row>
    <row r="7" spans="1:12">
      <c r="A7">
        <v>20</v>
      </c>
      <c r="B7">
        <v>5</v>
      </c>
      <c r="C7">
        <v>1.4041590000000001E-3</v>
      </c>
      <c r="D7">
        <v>2.5</v>
      </c>
      <c r="E7">
        <v>6.9962354326278901E-3</v>
      </c>
      <c r="F7">
        <v>0.99300376456737205</v>
      </c>
      <c r="G7">
        <v>97601.254129447101</v>
      </c>
      <c r="H7">
        <v>682.84135240936303</v>
      </c>
      <c r="I7">
        <v>486299.167266212</v>
      </c>
      <c r="J7">
        <v>5542153.8272846602</v>
      </c>
      <c r="K7">
        <v>56.783633332561301</v>
      </c>
      <c r="L7" t="s">
        <v>13</v>
      </c>
    </row>
    <row r="8" spans="1:12">
      <c r="A8">
        <v>25</v>
      </c>
      <c r="B8">
        <v>5</v>
      </c>
      <c r="C8">
        <v>1.5367720000000001E-3</v>
      </c>
      <c r="D8">
        <v>2.5</v>
      </c>
      <c r="E8">
        <v>7.6544521307254001E-3</v>
      </c>
      <c r="F8">
        <v>0.99234554786927498</v>
      </c>
      <c r="G8">
        <v>96918.412777037694</v>
      </c>
      <c r="H8">
        <v>741.85735118770401</v>
      </c>
      <c r="I8">
        <v>482737.42050721898</v>
      </c>
      <c r="J8">
        <v>5055854.6600184496</v>
      </c>
      <c r="K8">
        <v>52.166090169568903</v>
      </c>
      <c r="L8" t="s">
        <v>13</v>
      </c>
    </row>
    <row r="9" spans="1:12">
      <c r="A9">
        <v>30</v>
      </c>
      <c r="B9">
        <v>5</v>
      </c>
      <c r="C9">
        <v>1.8067669999999999E-3</v>
      </c>
      <c r="D9">
        <v>2.5</v>
      </c>
      <c r="E9">
        <v>8.9932133970257403E-3</v>
      </c>
      <c r="F9">
        <v>0.99100678660297403</v>
      </c>
      <c r="G9">
        <v>96176.555425850005</v>
      </c>
      <c r="H9">
        <v>864.93628673555202</v>
      </c>
      <c r="I9">
        <v>478720.43641241099</v>
      </c>
      <c r="J9">
        <v>4573117.23951123</v>
      </c>
      <c r="K9">
        <v>47.549189293195298</v>
      </c>
      <c r="L9" t="s">
        <v>13</v>
      </c>
    </row>
    <row r="10" spans="1:12">
      <c r="A10">
        <v>35</v>
      </c>
      <c r="B10">
        <v>5</v>
      </c>
      <c r="C10">
        <v>1.637115E-3</v>
      </c>
      <c r="D10">
        <v>2.5</v>
      </c>
      <c r="E10">
        <v>8.1522097378873993E-3</v>
      </c>
      <c r="F10">
        <v>0.991847790262113</v>
      </c>
      <c r="G10">
        <v>95311.619139114497</v>
      </c>
      <c r="H10">
        <v>777.00030967970099</v>
      </c>
      <c r="I10">
        <v>474615.59492137301</v>
      </c>
      <c r="J10">
        <v>4094396.8030988201</v>
      </c>
      <c r="K10">
        <v>42.958002813096002</v>
      </c>
      <c r="L10" t="s">
        <v>13</v>
      </c>
    </row>
    <row r="11" spans="1:12">
      <c r="A11">
        <v>40</v>
      </c>
      <c r="B11">
        <v>5</v>
      </c>
      <c r="C11">
        <v>2.2426009999999999E-3</v>
      </c>
      <c r="D11">
        <v>2.5</v>
      </c>
      <c r="E11">
        <v>1.11504897513329E-2</v>
      </c>
      <c r="F11">
        <v>0.98884951024866696</v>
      </c>
      <c r="G11">
        <v>94534.618829434694</v>
      </c>
      <c r="H11">
        <v>1054.1072984037901</v>
      </c>
      <c r="I11">
        <v>470037.82590116397</v>
      </c>
      <c r="J11">
        <v>3619781.2081774399</v>
      </c>
      <c r="K11">
        <v>38.290535816392101</v>
      </c>
      <c r="L11" t="s">
        <v>13</v>
      </c>
    </row>
    <row r="12" spans="1:12">
      <c r="A12">
        <v>45</v>
      </c>
      <c r="B12">
        <v>5</v>
      </c>
      <c r="C12">
        <v>3.376642E-3</v>
      </c>
      <c r="D12">
        <v>2.5</v>
      </c>
      <c r="E12">
        <v>1.67418816481694E-2</v>
      </c>
      <c r="F12">
        <v>0.98325811835183097</v>
      </c>
      <c r="G12">
        <v>93480.511531030905</v>
      </c>
      <c r="H12">
        <v>1565.0396604628299</v>
      </c>
      <c r="I12">
        <v>463489.958503998</v>
      </c>
      <c r="J12">
        <v>3149743.3822762799</v>
      </c>
      <c r="K12">
        <v>33.694117957738399</v>
      </c>
      <c r="L12" t="s">
        <v>13</v>
      </c>
    </row>
    <row r="13" spans="1:12">
      <c r="A13">
        <v>50</v>
      </c>
      <c r="B13">
        <v>5</v>
      </c>
      <c r="C13">
        <v>5.0863480000000001E-3</v>
      </c>
      <c r="D13">
        <v>2.5</v>
      </c>
      <c r="E13">
        <v>2.51124138105982E-2</v>
      </c>
      <c r="F13">
        <v>0.97488758618940197</v>
      </c>
      <c r="G13">
        <v>91915.471870568101</v>
      </c>
      <c r="H13">
        <v>2308.21936521013</v>
      </c>
      <c r="I13">
        <v>453806.81093981501</v>
      </c>
      <c r="J13">
        <v>2686253.4237722801</v>
      </c>
      <c r="K13">
        <v>29.2252584804761</v>
      </c>
      <c r="L13" t="s">
        <v>13</v>
      </c>
    </row>
    <row r="14" spans="1:12">
      <c r="A14">
        <v>55</v>
      </c>
      <c r="B14">
        <v>5</v>
      </c>
      <c r="C14">
        <v>8.4736299999999994E-3</v>
      </c>
      <c r="D14">
        <v>2.5</v>
      </c>
      <c r="E14">
        <v>4.1489238852456603E-2</v>
      </c>
      <c r="F14">
        <v>0.95851076114754297</v>
      </c>
      <c r="G14">
        <v>89607.252505358003</v>
      </c>
      <c r="H14">
        <v>3717.73670210718</v>
      </c>
      <c r="I14">
        <v>438741.92077152198</v>
      </c>
      <c r="J14">
        <v>2232446.6128324699</v>
      </c>
      <c r="K14">
        <v>24.9136822122627</v>
      </c>
      <c r="L14" t="s">
        <v>13</v>
      </c>
    </row>
    <row r="15" spans="1:12">
      <c r="A15">
        <v>60</v>
      </c>
      <c r="B15">
        <v>5</v>
      </c>
      <c r="C15">
        <v>1.3277092000000001E-2</v>
      </c>
      <c r="D15">
        <v>2.5</v>
      </c>
      <c r="E15">
        <v>6.4252736273125E-2</v>
      </c>
      <c r="F15">
        <v>0.935747263726875</v>
      </c>
      <c r="G15">
        <v>85889.515803250804</v>
      </c>
      <c r="H15">
        <v>5518.6364075326701</v>
      </c>
      <c r="I15">
        <v>415650.98799742199</v>
      </c>
      <c r="J15">
        <v>1793704.69206094</v>
      </c>
      <c r="K15">
        <v>20.8838607982123</v>
      </c>
      <c r="L15" t="s">
        <v>13</v>
      </c>
    </row>
    <row r="16" spans="1:12">
      <c r="A16">
        <v>65</v>
      </c>
      <c r="B16">
        <v>5</v>
      </c>
      <c r="C16">
        <v>2.0489098000000001E-2</v>
      </c>
      <c r="D16">
        <v>2.5</v>
      </c>
      <c r="E16">
        <v>9.7453646705484898E-2</v>
      </c>
      <c r="F16">
        <v>0.90254635329451505</v>
      </c>
      <c r="G16">
        <v>80370.879395718104</v>
      </c>
      <c r="H16">
        <v>7832.4352860394401</v>
      </c>
      <c r="I16">
        <v>382273.30876349198</v>
      </c>
      <c r="J16">
        <v>1378053.7040635201</v>
      </c>
      <c r="K16">
        <v>17.146181731799501</v>
      </c>
      <c r="L16" t="s">
        <v>13</v>
      </c>
    </row>
    <row r="17" spans="1:12">
      <c r="A17">
        <v>70</v>
      </c>
      <c r="B17">
        <v>5</v>
      </c>
      <c r="C17">
        <v>3.2747977999999997E-2</v>
      </c>
      <c r="D17">
        <v>2.5</v>
      </c>
      <c r="E17">
        <v>0.15134895904701401</v>
      </c>
      <c r="F17">
        <v>0.84865104095298605</v>
      </c>
      <c r="G17">
        <v>72538.444109678705</v>
      </c>
      <c r="H17">
        <v>10978.618006889899</v>
      </c>
      <c r="I17">
        <v>335245.67553116899</v>
      </c>
      <c r="J17">
        <v>995780.39530003001</v>
      </c>
      <c r="K17">
        <v>13.7276227457319</v>
      </c>
      <c r="L17" t="s">
        <v>13</v>
      </c>
    </row>
    <row r="18" spans="1:12">
      <c r="A18">
        <v>75</v>
      </c>
      <c r="B18">
        <v>5</v>
      </c>
      <c r="C18">
        <v>5.3055005000000002E-2</v>
      </c>
      <c r="D18">
        <v>2.5</v>
      </c>
      <c r="E18">
        <v>0.234209993993996</v>
      </c>
      <c r="F18">
        <v>0.765790006006004</v>
      </c>
      <c r="G18">
        <v>61559.8261027888</v>
      </c>
      <c r="H18">
        <v>14417.926501805599</v>
      </c>
      <c r="I18">
        <v>271754.31425942999</v>
      </c>
      <c r="J18">
        <v>660534.71976886096</v>
      </c>
      <c r="K18">
        <v>10.7299640298844</v>
      </c>
      <c r="L18" t="s">
        <v>13</v>
      </c>
    </row>
    <row r="19" spans="1:12">
      <c r="A19">
        <v>80</v>
      </c>
      <c r="B19">
        <v>5</v>
      </c>
      <c r="C19">
        <v>8.4253763999999995E-2</v>
      </c>
      <c r="D19">
        <v>2.5</v>
      </c>
      <c r="E19">
        <v>0.347973605012598</v>
      </c>
      <c r="F19">
        <v>0.652026394987402</v>
      </c>
      <c r="G19">
        <v>47141.899600983197</v>
      </c>
      <c r="H19">
        <v>16404.136751296101</v>
      </c>
      <c r="I19">
        <v>194699.15612667601</v>
      </c>
      <c r="J19">
        <v>388780.40550943097</v>
      </c>
      <c r="K19">
        <v>8.2470245959567201</v>
      </c>
      <c r="L19" t="s">
        <v>13</v>
      </c>
    </row>
    <row r="20" spans="1:12">
      <c r="A20">
        <v>85</v>
      </c>
      <c r="C20">
        <v>0.15837574700000001</v>
      </c>
      <c r="E20">
        <v>1</v>
      </c>
      <c r="F20">
        <v>0</v>
      </c>
      <c r="G20">
        <v>30737.7628496871</v>
      </c>
      <c r="H20">
        <v>30737.7628496871</v>
      </c>
      <c r="I20">
        <v>194081.24938275499</v>
      </c>
      <c r="J20">
        <v>194081.24938275499</v>
      </c>
      <c r="K20">
        <v>6.3140980796762998</v>
      </c>
      <c r="L2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/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1</v>
      </c>
      <c r="C2">
        <v>1.8348883999999999E-2</v>
      </c>
      <c r="D2">
        <v>9.4248404655999998E-2</v>
      </c>
      <c r="E2">
        <v>1.8048919424899501E-2</v>
      </c>
      <c r="F2">
        <v>0.98195108057510005</v>
      </c>
      <c r="G2" s="1">
        <v>100000</v>
      </c>
      <c r="H2">
        <v>1804.89194248995</v>
      </c>
      <c r="I2">
        <v>98365.216243666204</v>
      </c>
      <c r="J2">
        <v>6804624.2037857203</v>
      </c>
      <c r="K2">
        <v>68.046242037857198</v>
      </c>
      <c r="L2" t="s">
        <v>12</v>
      </c>
    </row>
    <row r="3" spans="1:12">
      <c r="A3">
        <v>1</v>
      </c>
      <c r="B3">
        <v>4</v>
      </c>
      <c r="C3">
        <v>7.28102E-4</v>
      </c>
      <c r="D3">
        <v>1.5993295426559999</v>
      </c>
      <c r="E3">
        <v>2.9073261887253799E-3</v>
      </c>
      <c r="F3">
        <v>0.99709267381127498</v>
      </c>
      <c r="G3">
        <v>98195.108057510006</v>
      </c>
      <c r="H3">
        <v>285.48520926031102</v>
      </c>
      <c r="I3">
        <v>392095.07632216002</v>
      </c>
      <c r="J3">
        <v>6706258.98754205</v>
      </c>
      <c r="K3">
        <v>68.295245254115798</v>
      </c>
      <c r="L3" t="s">
        <v>12</v>
      </c>
    </row>
    <row r="4" spans="1:12">
      <c r="A4">
        <v>5</v>
      </c>
      <c r="B4">
        <v>5</v>
      </c>
      <c r="C4">
        <v>2.7074599999999999E-4</v>
      </c>
      <c r="D4">
        <v>2.5</v>
      </c>
      <c r="E4">
        <v>1.3528143273303301E-3</v>
      </c>
      <c r="F4">
        <v>0.99864718567266997</v>
      </c>
      <c r="G4">
        <v>97909.622848249695</v>
      </c>
      <c r="H4">
        <v>132.45354057262</v>
      </c>
      <c r="I4">
        <v>489216.98038981698</v>
      </c>
      <c r="J4">
        <v>6314163.9112198902</v>
      </c>
      <c r="K4">
        <v>64.4897174305964</v>
      </c>
      <c r="L4" t="s">
        <v>12</v>
      </c>
    </row>
    <row r="5" spans="1:12">
      <c r="A5">
        <v>10</v>
      </c>
      <c r="B5">
        <v>5</v>
      </c>
      <c r="C5">
        <v>4.17737E-4</v>
      </c>
      <c r="D5">
        <v>2.5</v>
      </c>
      <c r="E5">
        <v>2.0865059731357502E-3</v>
      </c>
      <c r="F5">
        <v>0.99791349402686402</v>
      </c>
      <c r="G5">
        <v>97777.169307677104</v>
      </c>
      <c r="H5">
        <v>204.01264779678601</v>
      </c>
      <c r="I5">
        <v>488375.81491889397</v>
      </c>
      <c r="J5">
        <v>5824946.9308300801</v>
      </c>
      <c r="K5">
        <v>59.573691609956697</v>
      </c>
      <c r="L5" t="s">
        <v>12</v>
      </c>
    </row>
    <row r="6" spans="1:12">
      <c r="A6">
        <v>15</v>
      </c>
      <c r="B6">
        <v>5</v>
      </c>
      <c r="C6">
        <v>2.199781E-3</v>
      </c>
      <c r="D6">
        <v>2.5</v>
      </c>
      <c r="E6">
        <v>1.09387478756484E-2</v>
      </c>
      <c r="F6">
        <v>0.98906125212435103</v>
      </c>
      <c r="G6">
        <v>97573.156659880304</v>
      </c>
      <c r="H6">
        <v>1067.32816013358</v>
      </c>
      <c r="I6">
        <v>485197.46289906802</v>
      </c>
      <c r="J6">
        <v>5336571.1159111802</v>
      </c>
      <c r="K6">
        <v>54.693025198655398</v>
      </c>
      <c r="L6" t="s">
        <v>12</v>
      </c>
    </row>
    <row r="7" spans="1:12">
      <c r="A7">
        <v>20</v>
      </c>
      <c r="B7">
        <v>5</v>
      </c>
      <c r="C7">
        <v>4.5330889999999997E-3</v>
      </c>
      <c r="D7">
        <v>2.5</v>
      </c>
      <c r="E7">
        <v>2.24114621189863E-2</v>
      </c>
      <c r="F7">
        <v>0.97758853788101396</v>
      </c>
      <c r="G7">
        <v>96505.8284997468</v>
      </c>
      <c r="H7">
        <v>2162.8367196834602</v>
      </c>
      <c r="I7">
        <v>477122.05069952499</v>
      </c>
      <c r="J7">
        <v>4851373.6530121099</v>
      </c>
      <c r="K7">
        <v>50.270265831921698</v>
      </c>
      <c r="L7" t="s">
        <v>12</v>
      </c>
    </row>
    <row r="8" spans="1:12">
      <c r="A8">
        <v>25</v>
      </c>
      <c r="B8">
        <v>5</v>
      </c>
      <c r="C8">
        <v>4.8984329999999998E-3</v>
      </c>
      <c r="D8">
        <v>2.5</v>
      </c>
      <c r="E8">
        <v>2.4195860496205E-2</v>
      </c>
      <c r="F8">
        <v>0.97580413950379497</v>
      </c>
      <c r="G8">
        <v>94342.991780063297</v>
      </c>
      <c r="H8">
        <v>2282.70986790503</v>
      </c>
      <c r="I8">
        <v>466008.18423055398</v>
      </c>
      <c r="J8">
        <v>4374251.60231259</v>
      </c>
      <c r="K8">
        <v>46.365411142674397</v>
      </c>
      <c r="L8" t="s">
        <v>12</v>
      </c>
    </row>
    <row r="9" spans="1:12">
      <c r="A9">
        <v>30</v>
      </c>
      <c r="B9">
        <v>5</v>
      </c>
      <c r="C9">
        <v>5.2977110000000001E-3</v>
      </c>
      <c r="D9">
        <v>2.5</v>
      </c>
      <c r="E9">
        <v>2.61423188743348E-2</v>
      </c>
      <c r="F9">
        <v>0.97385768112566495</v>
      </c>
      <c r="G9">
        <v>92060.281912158302</v>
      </c>
      <c r="H9">
        <v>2406.6692454088002</v>
      </c>
      <c r="I9">
        <v>454284.73644726898</v>
      </c>
      <c r="J9">
        <v>3908243.4180820398</v>
      </c>
      <c r="K9">
        <v>42.453089833150699</v>
      </c>
      <c r="L9" t="s">
        <v>12</v>
      </c>
    </row>
    <row r="10" spans="1:12">
      <c r="A10">
        <v>35</v>
      </c>
      <c r="B10">
        <v>5</v>
      </c>
      <c r="C10">
        <v>5.3970290000000002E-3</v>
      </c>
      <c r="D10">
        <v>2.5</v>
      </c>
      <c r="E10">
        <v>2.66258932055469E-2</v>
      </c>
      <c r="F10">
        <v>0.97337410679445302</v>
      </c>
      <c r="G10">
        <v>89653.612666749497</v>
      </c>
      <c r="H10">
        <v>2387.1075163563401</v>
      </c>
      <c r="I10">
        <v>442300.29454285698</v>
      </c>
      <c r="J10">
        <v>3453958.6816347698</v>
      </c>
      <c r="K10">
        <v>38.525593993333402</v>
      </c>
      <c r="L10" t="s">
        <v>12</v>
      </c>
    </row>
    <row r="11" spans="1:12">
      <c r="A11">
        <v>40</v>
      </c>
      <c r="B11">
        <v>5</v>
      </c>
      <c r="C11">
        <v>6.4801679999999997E-3</v>
      </c>
      <c r="D11">
        <v>2.5</v>
      </c>
      <c r="E11">
        <v>3.1884300933471402E-2</v>
      </c>
      <c r="F11">
        <v>0.96811569906652895</v>
      </c>
      <c r="G11">
        <v>87266.505150393103</v>
      </c>
      <c r="H11">
        <v>2782.4315116274702</v>
      </c>
      <c r="I11">
        <v>429376.44697289699</v>
      </c>
      <c r="J11">
        <v>3011658.38709191</v>
      </c>
      <c r="K11">
        <v>34.511046155700697</v>
      </c>
      <c r="L11" t="s">
        <v>12</v>
      </c>
    </row>
    <row r="12" spans="1:12">
      <c r="A12">
        <v>45</v>
      </c>
      <c r="B12">
        <v>5</v>
      </c>
      <c r="C12">
        <v>7.2538960000000001E-3</v>
      </c>
      <c r="D12">
        <v>2.5</v>
      </c>
      <c r="E12">
        <v>3.5623457853918197E-2</v>
      </c>
      <c r="F12">
        <v>0.96437654214608204</v>
      </c>
      <c r="G12">
        <v>84484.073638765694</v>
      </c>
      <c r="H12">
        <v>3009.6148365978902</v>
      </c>
      <c r="I12">
        <v>414896.33110233402</v>
      </c>
      <c r="J12">
        <v>2582281.9401190099</v>
      </c>
      <c r="K12">
        <v>30.5653104650263</v>
      </c>
      <c r="L12" t="s">
        <v>12</v>
      </c>
    </row>
    <row r="13" spans="1:12">
      <c r="A13">
        <v>50</v>
      </c>
      <c r="B13">
        <v>5</v>
      </c>
      <c r="C13">
        <v>1.0214566E-2</v>
      </c>
      <c r="D13">
        <v>2.5</v>
      </c>
      <c r="E13">
        <v>4.9801088730720498E-2</v>
      </c>
      <c r="F13">
        <v>0.95019891126927902</v>
      </c>
      <c r="G13">
        <v>81474.458802167806</v>
      </c>
      <c r="H13">
        <v>4057.51675209419</v>
      </c>
      <c r="I13">
        <v>397228.50213060301</v>
      </c>
      <c r="J13">
        <v>2167385.6090166802</v>
      </c>
      <c r="K13">
        <v>26.602025234428599</v>
      </c>
      <c r="L13" t="s">
        <v>12</v>
      </c>
    </row>
    <row r="14" spans="1:12">
      <c r="A14">
        <v>55</v>
      </c>
      <c r="B14">
        <v>5</v>
      </c>
      <c r="C14">
        <v>1.3799061E-2</v>
      </c>
      <c r="D14">
        <v>2.5</v>
      </c>
      <c r="E14">
        <v>6.6694501271475803E-2</v>
      </c>
      <c r="F14">
        <v>0.93330549872852397</v>
      </c>
      <c r="G14">
        <v>77416.942050073601</v>
      </c>
      <c r="H14">
        <v>5163.2843399924004</v>
      </c>
      <c r="I14">
        <v>374176.49940038699</v>
      </c>
      <c r="J14">
        <v>1770157.10688608</v>
      </c>
      <c r="K14">
        <v>22.865241896807699</v>
      </c>
      <c r="L14" t="s">
        <v>12</v>
      </c>
    </row>
    <row r="15" spans="1:12">
      <c r="A15">
        <v>60</v>
      </c>
      <c r="B15">
        <v>5</v>
      </c>
      <c r="C15">
        <v>1.8879109000000002E-2</v>
      </c>
      <c r="D15">
        <v>2.5</v>
      </c>
      <c r="E15">
        <v>9.0141086506178594E-2</v>
      </c>
      <c r="F15">
        <v>0.90985891349382098</v>
      </c>
      <c r="G15">
        <v>72253.657710081199</v>
      </c>
      <c r="H15">
        <v>6513.0232100322501</v>
      </c>
      <c r="I15">
        <v>344985.73052532499</v>
      </c>
      <c r="J15">
        <v>1395980.6074856899</v>
      </c>
      <c r="K15">
        <v>19.320552782076199</v>
      </c>
      <c r="L15" t="s">
        <v>12</v>
      </c>
    </row>
    <row r="16" spans="1:12">
      <c r="A16">
        <v>65</v>
      </c>
      <c r="B16">
        <v>5</v>
      </c>
      <c r="C16">
        <v>2.6075897000000001E-2</v>
      </c>
      <c r="D16">
        <v>2.5</v>
      </c>
      <c r="E16">
        <v>0.122400244574267</v>
      </c>
      <c r="F16">
        <v>0.87759975542573299</v>
      </c>
      <c r="G16">
        <v>65740.634500048895</v>
      </c>
      <c r="H16">
        <v>8046.6697412734502</v>
      </c>
      <c r="I16">
        <v>308586.49814706098</v>
      </c>
      <c r="J16">
        <v>1050994.87696036</v>
      </c>
      <c r="K16">
        <v>15.986990161459101</v>
      </c>
      <c r="L16" t="s">
        <v>12</v>
      </c>
    </row>
    <row r="17" spans="1:12">
      <c r="A17">
        <v>70</v>
      </c>
      <c r="B17">
        <v>5</v>
      </c>
      <c r="C17">
        <v>4.0379780999999997E-2</v>
      </c>
      <c r="D17">
        <v>2.5</v>
      </c>
      <c r="E17">
        <v>0.183386171400998</v>
      </c>
      <c r="F17">
        <v>0.816613828599002</v>
      </c>
      <c r="G17">
        <v>57693.964758775503</v>
      </c>
      <c r="H17">
        <v>10580.2753100559</v>
      </c>
      <c r="I17">
        <v>262019.13551873801</v>
      </c>
      <c r="J17">
        <v>742408.37881330203</v>
      </c>
      <c r="K17">
        <v>12.868042297273</v>
      </c>
      <c r="L17" t="s">
        <v>12</v>
      </c>
    </row>
    <row r="18" spans="1:12">
      <c r="A18">
        <v>75</v>
      </c>
      <c r="B18">
        <v>5</v>
      </c>
      <c r="C18">
        <v>5.8136561000000003E-2</v>
      </c>
      <c r="D18">
        <v>2.5</v>
      </c>
      <c r="E18">
        <v>0.25379577160618699</v>
      </c>
      <c r="F18">
        <v>0.74620422839381295</v>
      </c>
      <c r="G18">
        <v>47113.689448719502</v>
      </c>
      <c r="H18">
        <v>11957.255166852099</v>
      </c>
      <c r="I18">
        <v>205675.30932646801</v>
      </c>
      <c r="J18">
        <v>480389.24329456501</v>
      </c>
      <c r="K18">
        <v>10.1963834485397</v>
      </c>
      <c r="L18" t="s">
        <v>12</v>
      </c>
    </row>
    <row r="19" spans="1:12">
      <c r="A19">
        <v>80</v>
      </c>
      <c r="B19">
        <v>5</v>
      </c>
      <c r="C19">
        <v>9.5983612999999995E-2</v>
      </c>
      <c r="D19">
        <v>2.5</v>
      </c>
      <c r="E19">
        <v>0.38704348484190798</v>
      </c>
      <c r="F19">
        <v>0.61295651515809302</v>
      </c>
      <c r="G19">
        <v>35156.4342818675</v>
      </c>
      <c r="H19">
        <v>13607.0688390695</v>
      </c>
      <c r="I19">
        <v>141764.499311664</v>
      </c>
      <c r="J19">
        <v>274713.93396809697</v>
      </c>
      <c r="K19">
        <v>7.81404427324944</v>
      </c>
      <c r="L19" t="s">
        <v>12</v>
      </c>
    </row>
    <row r="20" spans="1:12">
      <c r="A20">
        <v>85</v>
      </c>
      <c r="C20">
        <v>0.16208692799999999</v>
      </c>
      <c r="E20">
        <v>1</v>
      </c>
      <c r="F20">
        <v>0</v>
      </c>
      <c r="G20">
        <v>21549.365442798</v>
      </c>
      <c r="H20">
        <v>21549.365442798</v>
      </c>
      <c r="I20">
        <v>132949.434656433</v>
      </c>
      <c r="J20">
        <v>132949.434656433</v>
      </c>
      <c r="K20">
        <v>6.1695289826209798</v>
      </c>
      <c r="L20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/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1</v>
      </c>
      <c r="C2">
        <v>1.4946068E-2</v>
      </c>
      <c r="D2">
        <v>9.4848990399999999E-2</v>
      </c>
      <c r="E2">
        <v>1.47465697894654E-2</v>
      </c>
      <c r="F2">
        <v>0.98525343021053502</v>
      </c>
      <c r="G2" s="1">
        <v>100000</v>
      </c>
      <c r="H2">
        <v>1474.65697894654</v>
      </c>
      <c r="I2">
        <v>98665.212746692894</v>
      </c>
      <c r="J2">
        <v>7670783.6951903999</v>
      </c>
      <c r="K2">
        <v>76.707836951904</v>
      </c>
      <c r="L2" t="s">
        <v>13</v>
      </c>
    </row>
    <row r="3" spans="1:12">
      <c r="A3">
        <v>1</v>
      </c>
      <c r="B3">
        <v>4</v>
      </c>
      <c r="C3">
        <v>7.0651199999999996E-4</v>
      </c>
      <c r="D3">
        <v>1.4993118687760001</v>
      </c>
      <c r="E3">
        <v>2.8210638398360002E-3</v>
      </c>
      <c r="F3">
        <v>0.99717893616016395</v>
      </c>
      <c r="G3">
        <v>98525.343021053501</v>
      </c>
      <c r="H3">
        <v>277.94628250414098</v>
      </c>
      <c r="I3">
        <v>393406.31511443801</v>
      </c>
      <c r="J3">
        <v>7572118.4824437099</v>
      </c>
      <c r="K3">
        <v>76.854525447586198</v>
      </c>
      <c r="L3" t="s">
        <v>13</v>
      </c>
    </row>
    <row r="4" spans="1:12">
      <c r="A4">
        <v>5</v>
      </c>
      <c r="B4">
        <v>5</v>
      </c>
      <c r="C4">
        <v>2.73219E-4</v>
      </c>
      <c r="D4">
        <v>2.5</v>
      </c>
      <c r="E4">
        <v>1.3651625291473701E-3</v>
      </c>
      <c r="F4">
        <v>0.99863483747085302</v>
      </c>
      <c r="G4">
        <v>98247.396738549302</v>
      </c>
      <c r="H4">
        <v>134.12366461374</v>
      </c>
      <c r="I4">
        <v>490901.67453121202</v>
      </c>
      <c r="J4">
        <v>7178712.1673292704</v>
      </c>
      <c r="K4">
        <v>73.067708719375801</v>
      </c>
      <c r="L4" t="s">
        <v>13</v>
      </c>
    </row>
    <row r="5" spans="1:12">
      <c r="A5">
        <v>10</v>
      </c>
      <c r="B5">
        <v>5</v>
      </c>
      <c r="C5">
        <v>3.1009400000000002E-4</v>
      </c>
      <c r="D5">
        <v>2.5</v>
      </c>
      <c r="E5">
        <v>1.5492689524836201E-3</v>
      </c>
      <c r="F5">
        <v>0.99845073104751603</v>
      </c>
      <c r="G5">
        <v>98113.273073935605</v>
      </c>
      <c r="H5">
        <v>152.00384780000601</v>
      </c>
      <c r="I5">
        <v>490186.35575017799</v>
      </c>
      <c r="J5">
        <v>6687810.4927980602</v>
      </c>
      <c r="K5">
        <v>68.164176805704003</v>
      </c>
      <c r="L5" t="s">
        <v>13</v>
      </c>
    </row>
    <row r="6" spans="1:12">
      <c r="A6">
        <v>15</v>
      </c>
      <c r="B6">
        <v>5</v>
      </c>
      <c r="C6">
        <v>8.3856499999999999E-4</v>
      </c>
      <c r="D6">
        <v>2.5</v>
      </c>
      <c r="E6">
        <v>4.1840534979462399E-3</v>
      </c>
      <c r="F6">
        <v>0.99581594650205396</v>
      </c>
      <c r="G6">
        <v>97961.269226135599</v>
      </c>
      <c r="H6">
        <v>409.87519116886</v>
      </c>
      <c r="I6">
        <v>488781.65815275599</v>
      </c>
      <c r="J6">
        <v>6197624.1370478803</v>
      </c>
      <c r="K6">
        <v>63.266066130086301</v>
      </c>
      <c r="L6" t="s">
        <v>13</v>
      </c>
    </row>
    <row r="7" spans="1:12">
      <c r="A7">
        <v>20</v>
      </c>
      <c r="B7">
        <v>5</v>
      </c>
      <c r="C7">
        <v>1.138273E-3</v>
      </c>
      <c r="D7">
        <v>2.5</v>
      </c>
      <c r="E7">
        <v>5.6752151395935199E-3</v>
      </c>
      <c r="F7">
        <v>0.99432478486040599</v>
      </c>
      <c r="G7">
        <v>97551.394034966695</v>
      </c>
      <c r="H7">
        <v>553.62514831571002</v>
      </c>
      <c r="I7">
        <v>486372.907304044</v>
      </c>
      <c r="J7">
        <v>5708842.4788951203</v>
      </c>
      <c r="K7">
        <v>58.521382860493297</v>
      </c>
      <c r="L7" t="s">
        <v>13</v>
      </c>
    </row>
    <row r="8" spans="1:12">
      <c r="A8">
        <v>25</v>
      </c>
      <c r="B8">
        <v>5</v>
      </c>
      <c r="C8">
        <v>1.057788E-3</v>
      </c>
      <c r="D8">
        <v>2.5</v>
      </c>
      <c r="E8">
        <v>5.2749904460152302E-3</v>
      </c>
      <c r="F8">
        <v>0.99472500955398502</v>
      </c>
      <c r="G8">
        <v>96997.768886651</v>
      </c>
      <c r="H8">
        <v>511.66230416187301</v>
      </c>
      <c r="I8">
        <v>483709.68867285002</v>
      </c>
      <c r="J8">
        <v>5222469.5715910802</v>
      </c>
      <c r="K8">
        <v>53.841130899556198</v>
      </c>
      <c r="L8" t="s">
        <v>13</v>
      </c>
    </row>
    <row r="9" spans="1:12">
      <c r="A9">
        <v>30</v>
      </c>
      <c r="B9">
        <v>5</v>
      </c>
      <c r="C9">
        <v>1.224976E-3</v>
      </c>
      <c r="D9">
        <v>2.5</v>
      </c>
      <c r="E9">
        <v>6.1061801895403401E-3</v>
      </c>
      <c r="F9">
        <v>0.99389381981045999</v>
      </c>
      <c r="G9">
        <v>96486.106582489097</v>
      </c>
      <c r="H9">
        <v>589.16155257986998</v>
      </c>
      <c r="I9">
        <v>480957.629030996</v>
      </c>
      <c r="J9">
        <v>4738759.8829182303</v>
      </c>
      <c r="K9">
        <v>49.113391044200803</v>
      </c>
      <c r="L9" t="s">
        <v>13</v>
      </c>
    </row>
    <row r="10" spans="1:12">
      <c r="A10">
        <v>35</v>
      </c>
      <c r="B10">
        <v>5</v>
      </c>
      <c r="C10">
        <v>1.5356739999999999E-3</v>
      </c>
      <c r="D10">
        <v>2.5</v>
      </c>
      <c r="E10">
        <v>7.6490040583542303E-3</v>
      </c>
      <c r="F10">
        <v>0.992350995941646</v>
      </c>
      <c r="G10">
        <v>95896.945029909301</v>
      </c>
      <c r="H10">
        <v>733.516121717548</v>
      </c>
      <c r="I10">
        <v>477650.93484525301</v>
      </c>
      <c r="J10">
        <v>4257802.2538872296</v>
      </c>
      <c r="K10">
        <v>44.3997694875397</v>
      </c>
      <c r="L10" t="s">
        <v>13</v>
      </c>
    </row>
    <row r="11" spans="1:12">
      <c r="A11">
        <v>40</v>
      </c>
      <c r="B11">
        <v>5</v>
      </c>
      <c r="C11">
        <v>2.3934709999999999E-3</v>
      </c>
      <c r="D11">
        <v>2.5</v>
      </c>
      <c r="E11">
        <v>1.18961721424153E-2</v>
      </c>
      <c r="F11">
        <v>0.98810382785758499</v>
      </c>
      <c r="G11">
        <v>95163.428908191694</v>
      </c>
      <c r="H11">
        <v>1132.0805319543599</v>
      </c>
      <c r="I11">
        <v>472986.943211073</v>
      </c>
      <c r="J11">
        <v>3780151.31904198</v>
      </c>
      <c r="K11">
        <v>39.722731330844098</v>
      </c>
      <c r="L11" t="s">
        <v>13</v>
      </c>
    </row>
    <row r="12" spans="1:12">
      <c r="A12">
        <v>45</v>
      </c>
      <c r="B12">
        <v>5</v>
      </c>
      <c r="C12">
        <v>2.9224260000000001E-3</v>
      </c>
      <c r="D12">
        <v>2.5</v>
      </c>
      <c r="E12">
        <v>1.4506147146051401E-2</v>
      </c>
      <c r="F12">
        <v>0.98549385285394897</v>
      </c>
      <c r="G12">
        <v>94031.348376237394</v>
      </c>
      <c r="H12">
        <v>1364.03257588731</v>
      </c>
      <c r="I12">
        <v>466746.66044146899</v>
      </c>
      <c r="J12">
        <v>3307164.3758309102</v>
      </c>
      <c r="K12">
        <v>35.170870490959203</v>
      </c>
      <c r="L12" t="s">
        <v>13</v>
      </c>
    </row>
    <row r="13" spans="1:12">
      <c r="A13">
        <v>50</v>
      </c>
      <c r="B13">
        <v>5</v>
      </c>
      <c r="C13">
        <v>4.7198400000000003E-3</v>
      </c>
      <c r="D13">
        <v>2.5</v>
      </c>
      <c r="E13">
        <v>2.3323986291356499E-2</v>
      </c>
      <c r="F13">
        <v>0.97667601370864399</v>
      </c>
      <c r="G13">
        <v>92667.315800349999</v>
      </c>
      <c r="H13">
        <v>2161.3712033841598</v>
      </c>
      <c r="I13">
        <v>457933.15099329001</v>
      </c>
      <c r="J13">
        <v>2840417.7153894398</v>
      </c>
      <c r="K13">
        <v>30.651775017516002</v>
      </c>
      <c r="L13" t="s">
        <v>13</v>
      </c>
    </row>
    <row r="14" spans="1:12">
      <c r="A14">
        <v>55</v>
      </c>
      <c r="B14">
        <v>5</v>
      </c>
      <c r="C14">
        <v>7.4370790000000001E-3</v>
      </c>
      <c r="D14">
        <v>2.5</v>
      </c>
      <c r="E14">
        <v>3.6506638120680203E-2</v>
      </c>
      <c r="F14">
        <v>0.96349336187932</v>
      </c>
      <c r="G14">
        <v>90505.944596965899</v>
      </c>
      <c r="H14">
        <v>3304.0677671717699</v>
      </c>
      <c r="I14">
        <v>444269.55356690002</v>
      </c>
      <c r="J14">
        <v>2382484.5643961499</v>
      </c>
      <c r="K14">
        <v>26.324067164932099</v>
      </c>
      <c r="L14" t="s">
        <v>13</v>
      </c>
    </row>
    <row r="15" spans="1:12">
      <c r="A15">
        <v>60</v>
      </c>
      <c r="B15">
        <v>5</v>
      </c>
      <c r="C15">
        <v>1.1454751000000001E-2</v>
      </c>
      <c r="D15">
        <v>2.5</v>
      </c>
      <c r="E15">
        <v>5.5679274438612598E-2</v>
      </c>
      <c r="F15">
        <v>0.94432072556138702</v>
      </c>
      <c r="G15">
        <v>87201.876829794099</v>
      </c>
      <c r="H15">
        <v>4855.33723156819</v>
      </c>
      <c r="I15">
        <v>423871.04107004998</v>
      </c>
      <c r="J15">
        <v>1938215.0108292501</v>
      </c>
      <c r="K15">
        <v>22.226757970042001</v>
      </c>
      <c r="L15" t="s">
        <v>13</v>
      </c>
    </row>
    <row r="16" spans="1:12">
      <c r="A16">
        <v>65</v>
      </c>
      <c r="B16">
        <v>5</v>
      </c>
      <c r="C16">
        <v>1.7223235E-2</v>
      </c>
      <c r="D16">
        <v>2.5</v>
      </c>
      <c r="E16">
        <v>8.25612456602519E-2</v>
      </c>
      <c r="F16">
        <v>0.91743875433974797</v>
      </c>
      <c r="G16">
        <v>82346.539598225907</v>
      </c>
      <c r="H16">
        <v>6798.6328850407999</v>
      </c>
      <c r="I16">
        <v>394736.11577852798</v>
      </c>
      <c r="J16">
        <v>1514343.9697592</v>
      </c>
      <c r="K16">
        <v>18.389891999685499</v>
      </c>
      <c r="L16" t="s">
        <v>13</v>
      </c>
    </row>
    <row r="17" spans="1:12">
      <c r="A17">
        <v>70</v>
      </c>
      <c r="B17">
        <v>5</v>
      </c>
      <c r="C17">
        <v>2.7384492E-2</v>
      </c>
      <c r="D17">
        <v>2.5</v>
      </c>
      <c r="E17">
        <v>0.12814920762262899</v>
      </c>
      <c r="F17">
        <v>0.87185079237737095</v>
      </c>
      <c r="G17">
        <v>75547.906713185104</v>
      </c>
      <c r="H17">
        <v>9681.4043828430003</v>
      </c>
      <c r="I17">
        <v>353536.02260881802</v>
      </c>
      <c r="J17">
        <v>1119607.85398067</v>
      </c>
      <c r="K17">
        <v>14.8198395255506</v>
      </c>
      <c r="L17" t="s">
        <v>13</v>
      </c>
    </row>
    <row r="18" spans="1:12">
      <c r="A18">
        <v>75</v>
      </c>
      <c r="B18">
        <v>5</v>
      </c>
      <c r="C18">
        <v>4.5098590000000001E-2</v>
      </c>
      <c r="D18">
        <v>2.5</v>
      </c>
      <c r="E18">
        <v>0.20264539593351699</v>
      </c>
      <c r="F18">
        <v>0.79735460406648295</v>
      </c>
      <c r="G18">
        <v>65866.502330342104</v>
      </c>
      <c r="H18">
        <v>13347.543443488101</v>
      </c>
      <c r="I18">
        <v>295963.65304299002</v>
      </c>
      <c r="J18">
        <v>766071.83137185301</v>
      </c>
      <c r="K18">
        <v>11.6306742314895</v>
      </c>
      <c r="L18" t="s">
        <v>13</v>
      </c>
    </row>
    <row r="19" spans="1:12">
      <c r="A19">
        <v>80</v>
      </c>
      <c r="B19">
        <v>5</v>
      </c>
      <c r="C19">
        <v>7.2159352999999996E-2</v>
      </c>
      <c r="D19">
        <v>2.5</v>
      </c>
      <c r="E19">
        <v>0.30565677685516501</v>
      </c>
      <c r="F19">
        <v>0.69434322314483499</v>
      </c>
      <c r="G19">
        <v>52518.958886854103</v>
      </c>
      <c r="H19">
        <v>16052.7756971447</v>
      </c>
      <c r="I19">
        <v>222462.85519140799</v>
      </c>
      <c r="J19">
        <v>470108.178328863</v>
      </c>
      <c r="K19">
        <v>8.9512090165697291</v>
      </c>
      <c r="L19" t="s">
        <v>13</v>
      </c>
    </row>
    <row r="20" spans="1:12">
      <c r="A20">
        <v>85</v>
      </c>
      <c r="C20">
        <v>0.14725165300000001</v>
      </c>
      <c r="E20">
        <v>1</v>
      </c>
      <c r="F20">
        <v>0</v>
      </c>
      <c r="G20">
        <v>36466.1831897093</v>
      </c>
      <c r="H20">
        <v>36466.1831897093</v>
      </c>
      <c r="I20">
        <v>247645.32313745501</v>
      </c>
      <c r="J20">
        <v>247645.32313745501</v>
      </c>
      <c r="K20">
        <v>6.7910952415590202</v>
      </c>
      <c r="L20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/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1</v>
      </c>
      <c r="C2">
        <v>1.6888114999999999E-2</v>
      </c>
      <c r="D2">
        <v>9.0327700659999996E-2</v>
      </c>
      <c r="E2">
        <v>1.6632594268941901E-2</v>
      </c>
      <c r="F2">
        <v>0.98336740573105796</v>
      </c>
      <c r="G2" s="1">
        <v>100000</v>
      </c>
      <c r="H2">
        <v>1663.25942689418</v>
      </c>
      <c r="I2">
        <v>98486.978972738201</v>
      </c>
      <c r="J2">
        <v>6649143.7045186497</v>
      </c>
      <c r="K2">
        <v>66.491437045186501</v>
      </c>
      <c r="L2" t="s">
        <v>12</v>
      </c>
    </row>
    <row r="3" spans="1:12">
      <c r="A3">
        <v>1</v>
      </c>
      <c r="B3">
        <v>4</v>
      </c>
      <c r="C3">
        <v>8.3741499999999999E-4</v>
      </c>
      <c r="D3">
        <v>1.60344306816</v>
      </c>
      <c r="E3">
        <v>3.3429509891272999E-3</v>
      </c>
      <c r="F3">
        <v>0.99665704901087304</v>
      </c>
      <c r="G3">
        <v>98336.740573105795</v>
      </c>
      <c r="H3">
        <v>328.73490416642699</v>
      </c>
      <c r="I3">
        <v>392559.13037910598</v>
      </c>
      <c r="J3">
        <v>6550656.7255459204</v>
      </c>
      <c r="K3">
        <v>66.614539869521195</v>
      </c>
      <c r="L3" t="s">
        <v>12</v>
      </c>
    </row>
    <row r="4" spans="1:12">
      <c r="A4">
        <v>5</v>
      </c>
      <c r="B4">
        <v>5</v>
      </c>
      <c r="C4" s="1">
        <v>2.9999999999999997E-4</v>
      </c>
      <c r="D4">
        <v>2.5</v>
      </c>
      <c r="E4">
        <v>1.4988758431176601E-3</v>
      </c>
      <c r="F4">
        <v>0.99850112415688197</v>
      </c>
      <c r="G4">
        <v>98008.005668939397</v>
      </c>
      <c r="H4">
        <v>146.901832129312</v>
      </c>
      <c r="I4">
        <v>489672.77376437403</v>
      </c>
      <c r="J4">
        <v>6158097.5951668099</v>
      </c>
      <c r="K4">
        <v>62.832597736640103</v>
      </c>
      <c r="L4" t="s">
        <v>12</v>
      </c>
    </row>
    <row r="5" spans="1:12">
      <c r="A5">
        <v>10</v>
      </c>
      <c r="B5">
        <v>5</v>
      </c>
      <c r="C5">
        <v>5.2363099999999999E-4</v>
      </c>
      <c r="D5">
        <v>2.5</v>
      </c>
      <c r="E5">
        <v>2.6147321130223201E-3</v>
      </c>
      <c r="F5">
        <v>0.99738526788697801</v>
      </c>
      <c r="G5">
        <v>97861.1038368101</v>
      </c>
      <c r="H5">
        <v>255.880570817913</v>
      </c>
      <c r="I5">
        <v>488665.81775700598</v>
      </c>
      <c r="J5">
        <v>5668424.8214024398</v>
      </c>
      <c r="K5">
        <v>57.9231645583613</v>
      </c>
      <c r="L5" t="s">
        <v>12</v>
      </c>
    </row>
    <row r="6" spans="1:12">
      <c r="A6">
        <v>15</v>
      </c>
      <c r="B6">
        <v>5</v>
      </c>
      <c r="C6">
        <v>2.233479E-3</v>
      </c>
      <c r="D6">
        <v>2.5</v>
      </c>
      <c r="E6">
        <v>1.1105385884599601E-2</v>
      </c>
      <c r="F6">
        <v>0.98889461411540003</v>
      </c>
      <c r="G6">
        <v>97605.223265992201</v>
      </c>
      <c r="H6">
        <v>1083.9436687213599</v>
      </c>
      <c r="I6">
        <v>485316.257158158</v>
      </c>
      <c r="J6">
        <v>5179759.0036454303</v>
      </c>
      <c r="K6">
        <v>53.068461198327803</v>
      </c>
      <c r="L6" t="s">
        <v>12</v>
      </c>
    </row>
    <row r="7" spans="1:12">
      <c r="A7">
        <v>20</v>
      </c>
      <c r="B7">
        <v>5</v>
      </c>
      <c r="C7">
        <v>3.779887E-3</v>
      </c>
      <c r="D7">
        <v>2.5</v>
      </c>
      <c r="E7">
        <v>1.87225125455543E-2</v>
      </c>
      <c r="F7">
        <v>0.98127748745444598</v>
      </c>
      <c r="G7">
        <v>96521.279597270797</v>
      </c>
      <c r="H7">
        <v>1807.1208681728499</v>
      </c>
      <c r="I7">
        <v>478088.59581592202</v>
      </c>
      <c r="J7">
        <v>4694442.7464872701</v>
      </c>
      <c r="K7">
        <v>48.636350098906199</v>
      </c>
      <c r="L7" t="s">
        <v>12</v>
      </c>
    </row>
    <row r="8" spans="1:12">
      <c r="A8">
        <v>25</v>
      </c>
      <c r="B8">
        <v>5</v>
      </c>
      <c r="C8">
        <v>4.8514150000000004E-3</v>
      </c>
      <c r="D8">
        <v>2.5</v>
      </c>
      <c r="E8">
        <v>2.3966397647393702E-2</v>
      </c>
      <c r="F8">
        <v>0.97603360235260594</v>
      </c>
      <c r="G8">
        <v>94714.158729097995</v>
      </c>
      <c r="H8">
        <v>2269.9571909399401</v>
      </c>
      <c r="I8">
        <v>467895.90066813998</v>
      </c>
      <c r="J8">
        <v>4216354.1506713498</v>
      </c>
      <c r="K8">
        <v>44.516619344431902</v>
      </c>
      <c r="L8" t="s">
        <v>12</v>
      </c>
    </row>
    <row r="9" spans="1:12">
      <c r="A9">
        <v>30</v>
      </c>
      <c r="B9">
        <v>5</v>
      </c>
      <c r="C9">
        <v>5.4084789999999999E-3</v>
      </c>
      <c r="D9">
        <v>2.5</v>
      </c>
      <c r="E9">
        <v>2.6681627445685498E-2</v>
      </c>
      <c r="F9">
        <v>0.97331837255431497</v>
      </c>
      <c r="G9">
        <v>92444.201538157999</v>
      </c>
      <c r="H9">
        <v>2466.56174495499</v>
      </c>
      <c r="I9">
        <v>456054.60332840303</v>
      </c>
      <c r="J9">
        <v>3748458.2500032098</v>
      </c>
      <c r="K9">
        <v>40.548332806530503</v>
      </c>
      <c r="L9" t="s">
        <v>12</v>
      </c>
    </row>
    <row r="10" spans="1:12">
      <c r="A10">
        <v>35</v>
      </c>
      <c r="B10">
        <v>5</v>
      </c>
      <c r="C10">
        <v>5.9999290000000002E-3</v>
      </c>
      <c r="D10">
        <v>2.5</v>
      </c>
      <c r="E10">
        <v>2.9556305661324399E-2</v>
      </c>
      <c r="F10">
        <v>0.97044369433867606</v>
      </c>
      <c r="G10">
        <v>89977.639793202994</v>
      </c>
      <c r="H10">
        <v>2659.4066244124601</v>
      </c>
      <c r="I10">
        <v>443239.68240498402</v>
      </c>
      <c r="J10">
        <v>3292403.64667481</v>
      </c>
      <c r="K10">
        <v>36.591353743460999</v>
      </c>
      <c r="L10" t="s">
        <v>12</v>
      </c>
    </row>
    <row r="11" spans="1:12">
      <c r="A11">
        <v>40</v>
      </c>
      <c r="B11">
        <v>5</v>
      </c>
      <c r="C11">
        <v>6.649561E-3</v>
      </c>
      <c r="D11">
        <v>2.5</v>
      </c>
      <c r="E11">
        <v>3.2704134654162297E-2</v>
      </c>
      <c r="F11">
        <v>0.967295865345838</v>
      </c>
      <c r="G11">
        <v>87318.233168790597</v>
      </c>
      <c r="H11">
        <v>2855.66725531568</v>
      </c>
      <c r="I11">
        <v>429451.99770566402</v>
      </c>
      <c r="J11">
        <v>2849163.9642698299</v>
      </c>
      <c r="K11">
        <v>32.629656612064601</v>
      </c>
      <c r="L11" t="s">
        <v>12</v>
      </c>
    </row>
    <row r="12" spans="1:12">
      <c r="A12">
        <v>45</v>
      </c>
      <c r="B12">
        <v>5</v>
      </c>
      <c r="C12">
        <v>8.5769279999999993E-3</v>
      </c>
      <c r="D12">
        <v>2.5</v>
      </c>
      <c r="E12">
        <v>4.1984397121905E-2</v>
      </c>
      <c r="F12">
        <v>0.95801560287809495</v>
      </c>
      <c r="G12">
        <v>84462.5659134749</v>
      </c>
      <c r="H12">
        <v>3546.1099092464001</v>
      </c>
      <c r="I12">
        <v>413447.55479425902</v>
      </c>
      <c r="J12">
        <v>2419711.9665641598</v>
      </c>
      <c r="K12">
        <v>28.6483359864175</v>
      </c>
      <c r="L12" t="s">
        <v>12</v>
      </c>
    </row>
    <row r="13" spans="1:12">
      <c r="A13">
        <v>50</v>
      </c>
      <c r="B13">
        <v>5</v>
      </c>
      <c r="C13">
        <v>1.1590255000000001E-2</v>
      </c>
      <c r="D13">
        <v>2.5</v>
      </c>
      <c r="E13">
        <v>5.6319384918382003E-2</v>
      </c>
      <c r="F13">
        <v>0.94368061508161805</v>
      </c>
      <c r="G13">
        <v>80916.456004228501</v>
      </c>
      <c r="H13">
        <v>4557.1650319334703</v>
      </c>
      <c r="I13">
        <v>393189.36744130898</v>
      </c>
      <c r="J13">
        <v>2006264.4117699</v>
      </c>
      <c r="K13">
        <v>24.794269433464301</v>
      </c>
      <c r="L13" t="s">
        <v>12</v>
      </c>
    </row>
    <row r="14" spans="1:12">
      <c r="A14">
        <v>55</v>
      </c>
      <c r="B14">
        <v>5</v>
      </c>
      <c r="C14">
        <v>1.5753851999999999E-2</v>
      </c>
      <c r="D14">
        <v>2.5</v>
      </c>
      <c r="E14">
        <v>7.5784514920140794E-2</v>
      </c>
      <c r="F14">
        <v>0.92421548507985896</v>
      </c>
      <c r="G14">
        <v>76359.290972294999</v>
      </c>
      <c r="H14">
        <v>5786.8518259812599</v>
      </c>
      <c r="I14">
        <v>367329.325296522</v>
      </c>
      <c r="J14">
        <v>1613075.0443285899</v>
      </c>
      <c r="K14">
        <v>21.1248038554189</v>
      </c>
      <c r="L14" t="s">
        <v>12</v>
      </c>
    </row>
    <row r="15" spans="1:12">
      <c r="A15">
        <v>60</v>
      </c>
      <c r="B15">
        <v>5</v>
      </c>
      <c r="C15">
        <v>2.3955271E-2</v>
      </c>
      <c r="D15">
        <v>2.5</v>
      </c>
      <c r="E15">
        <v>0.113008482916114</v>
      </c>
      <c r="F15">
        <v>0.88699151708388602</v>
      </c>
      <c r="G15">
        <v>70572.439146313802</v>
      </c>
      <c r="H15">
        <v>7975.2842836147001</v>
      </c>
      <c r="I15">
        <v>332923.985022532</v>
      </c>
      <c r="J15">
        <v>1245745.7190320699</v>
      </c>
      <c r="K15">
        <v>17.652014498880199</v>
      </c>
      <c r="L15" t="s">
        <v>12</v>
      </c>
    </row>
    <row r="16" spans="1:12">
      <c r="A16">
        <v>65</v>
      </c>
      <c r="B16">
        <v>5</v>
      </c>
      <c r="C16">
        <v>3.3492810999999997E-2</v>
      </c>
      <c r="D16">
        <v>2.5</v>
      </c>
      <c r="E16">
        <v>0.15452533536940199</v>
      </c>
      <c r="F16">
        <v>0.84547466463059695</v>
      </c>
      <c r="G16">
        <v>62597.154862699099</v>
      </c>
      <c r="H16">
        <v>9672.8463483289997</v>
      </c>
      <c r="I16">
        <v>288803.65844267298</v>
      </c>
      <c r="J16">
        <v>912821.73400953901</v>
      </c>
      <c r="K16">
        <v>14.582479603293899</v>
      </c>
      <c r="L16" t="s">
        <v>12</v>
      </c>
    </row>
    <row r="17" spans="1:12">
      <c r="A17">
        <v>70</v>
      </c>
      <c r="B17">
        <v>5</v>
      </c>
      <c r="C17">
        <v>5.0711674999999998E-2</v>
      </c>
      <c r="D17">
        <v>2.5</v>
      </c>
      <c r="E17">
        <v>0.22502933832366301</v>
      </c>
      <c r="F17">
        <v>0.77497066167633699</v>
      </c>
      <c r="G17">
        <v>52924.308514370103</v>
      </c>
      <c r="H17">
        <v>11909.5221262261</v>
      </c>
      <c r="I17">
        <v>234847.73725628501</v>
      </c>
      <c r="J17">
        <v>624018.07556686702</v>
      </c>
      <c r="K17">
        <v>11.790764831578899</v>
      </c>
      <c r="L17" t="s">
        <v>12</v>
      </c>
    </row>
    <row r="18" spans="1:12">
      <c r="A18">
        <v>75</v>
      </c>
      <c r="B18">
        <v>5</v>
      </c>
      <c r="C18">
        <v>6.6986614999999999E-2</v>
      </c>
      <c r="D18">
        <v>2.5</v>
      </c>
      <c r="E18">
        <v>0.28688880087066299</v>
      </c>
      <c r="F18">
        <v>0.71311119912933696</v>
      </c>
      <c r="G18">
        <v>41014.786388143999</v>
      </c>
      <c r="H18">
        <v>11766.682884861</v>
      </c>
      <c r="I18">
        <v>175657.224728567</v>
      </c>
      <c r="J18">
        <v>389170.33831058198</v>
      </c>
      <c r="K18">
        <v>9.4885374905445907</v>
      </c>
      <c r="L18" t="s">
        <v>12</v>
      </c>
    </row>
    <row r="19" spans="1:12">
      <c r="A19">
        <v>80</v>
      </c>
      <c r="B19">
        <v>5</v>
      </c>
      <c r="C19">
        <v>0.10252223100000001</v>
      </c>
      <c r="D19">
        <v>2.5</v>
      </c>
      <c r="E19">
        <v>0.40803062899718801</v>
      </c>
      <c r="F19">
        <v>0.59196937100281199</v>
      </c>
      <c r="G19">
        <v>29248.103503282899</v>
      </c>
      <c r="H19">
        <v>11934.1220694194</v>
      </c>
      <c r="I19">
        <v>116405.212342866</v>
      </c>
      <c r="J19">
        <v>213513.11358201399</v>
      </c>
      <c r="K19">
        <v>7.30006694478665</v>
      </c>
      <c r="L19" t="s">
        <v>12</v>
      </c>
    </row>
    <row r="20" spans="1:12">
      <c r="A20">
        <v>85</v>
      </c>
      <c r="C20">
        <v>0.17829632000000001</v>
      </c>
      <c r="E20">
        <v>1</v>
      </c>
      <c r="F20">
        <v>0</v>
      </c>
      <c r="G20">
        <v>17313.981433863599</v>
      </c>
      <c r="H20">
        <v>17313.981433863599</v>
      </c>
      <c r="I20">
        <v>97107.901239148196</v>
      </c>
      <c r="J20">
        <v>97107.901239148196</v>
      </c>
      <c r="K20">
        <v>5.6086407167573604</v>
      </c>
      <c r="L20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/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1</v>
      </c>
      <c r="C2">
        <v>1.3829397E-2</v>
      </c>
      <c r="D2">
        <v>9.1722311599999995E-2</v>
      </c>
      <c r="E2">
        <v>1.3657841768188199E-2</v>
      </c>
      <c r="F2">
        <v>0.98634215823181204</v>
      </c>
      <c r="G2" s="1">
        <v>100000</v>
      </c>
      <c r="H2">
        <v>1365.78417681882</v>
      </c>
      <c r="I2">
        <v>98759.488705025695</v>
      </c>
      <c r="J2">
        <v>7454618.7498537702</v>
      </c>
      <c r="K2">
        <v>74.546187498537705</v>
      </c>
      <c r="L2" t="s">
        <v>13</v>
      </c>
    </row>
    <row r="3" spans="1:12">
      <c r="A3">
        <v>1</v>
      </c>
      <c r="B3">
        <v>4</v>
      </c>
      <c r="C3">
        <v>5.7906400000000001E-4</v>
      </c>
      <c r="D3">
        <v>1.5010069753540001</v>
      </c>
      <c r="E3">
        <v>2.3129090427597698E-3</v>
      </c>
      <c r="F3">
        <v>0.99768709095723995</v>
      </c>
      <c r="G3">
        <v>98634.215823181206</v>
      </c>
      <c r="H3">
        <v>228.13196970293899</v>
      </c>
      <c r="I3">
        <v>393966.76309173799</v>
      </c>
      <c r="J3">
        <v>7355859.2611487396</v>
      </c>
      <c r="K3">
        <v>74.577155602224195</v>
      </c>
      <c r="L3" t="s">
        <v>13</v>
      </c>
    </row>
    <row r="4" spans="1:12">
      <c r="A4">
        <v>5</v>
      </c>
      <c r="B4">
        <v>5</v>
      </c>
      <c r="C4">
        <v>2.3904699999999999E-4</v>
      </c>
      <c r="D4">
        <v>2.5</v>
      </c>
      <c r="E4">
        <v>1.1945211332666399E-3</v>
      </c>
      <c r="F4">
        <v>0.99880547886673299</v>
      </c>
      <c r="G4">
        <v>98406.083853478194</v>
      </c>
      <c r="H4">
        <v>117.548146804998</v>
      </c>
      <c r="I4">
        <v>491736.54890037898</v>
      </c>
      <c r="J4">
        <v>6961892.4980570003</v>
      </c>
      <c r="K4">
        <v>70.746565917844194</v>
      </c>
      <c r="L4" t="s">
        <v>13</v>
      </c>
    </row>
    <row r="5" spans="1:12">
      <c r="A5">
        <v>10</v>
      </c>
      <c r="B5">
        <v>5</v>
      </c>
      <c r="C5">
        <v>3.0418699999999998E-4</v>
      </c>
      <c r="D5">
        <v>2.5</v>
      </c>
      <c r="E5">
        <v>1.51977925726767E-3</v>
      </c>
      <c r="F5">
        <v>0.99848022074273202</v>
      </c>
      <c r="G5">
        <v>98288.535706673196</v>
      </c>
      <c r="H5">
        <v>149.37687779421699</v>
      </c>
      <c r="I5">
        <v>491069.23633888102</v>
      </c>
      <c r="J5">
        <v>6470155.9491566299</v>
      </c>
      <c r="K5">
        <v>65.8281853792775</v>
      </c>
      <c r="L5" t="s">
        <v>13</v>
      </c>
    </row>
    <row r="6" spans="1:12">
      <c r="A6">
        <v>15</v>
      </c>
      <c r="B6">
        <v>5</v>
      </c>
      <c r="C6">
        <v>7.3648599999999995E-4</v>
      </c>
      <c r="D6">
        <v>2.5</v>
      </c>
      <c r="E6">
        <v>3.6756623154099301E-3</v>
      </c>
      <c r="F6">
        <v>0.99632433768458994</v>
      </c>
      <c r="G6">
        <v>98139.158828878994</v>
      </c>
      <c r="H6">
        <v>360.72640777334198</v>
      </c>
      <c r="I6">
        <v>489793.97812496201</v>
      </c>
      <c r="J6">
        <v>5979086.7128177397</v>
      </c>
      <c r="K6">
        <v>60.924576735400997</v>
      </c>
      <c r="L6" t="s">
        <v>13</v>
      </c>
    </row>
    <row r="7" spans="1:12">
      <c r="A7">
        <v>20</v>
      </c>
      <c r="B7">
        <v>5</v>
      </c>
      <c r="C7">
        <v>1.1928749999999999E-3</v>
      </c>
      <c r="D7">
        <v>2.5</v>
      </c>
      <c r="E7">
        <v>5.94664100153822E-3</v>
      </c>
      <c r="F7">
        <v>0.99405335899846203</v>
      </c>
      <c r="G7">
        <v>97778.432421105696</v>
      </c>
      <c r="H7">
        <v>581.45323530146595</v>
      </c>
      <c r="I7">
        <v>487438.52901727502</v>
      </c>
      <c r="J7">
        <v>5489292.7346927803</v>
      </c>
      <c r="K7">
        <v>56.140118007331701</v>
      </c>
      <c r="L7" t="s">
        <v>13</v>
      </c>
    </row>
    <row r="8" spans="1:12">
      <c r="A8">
        <v>25</v>
      </c>
      <c r="B8">
        <v>5</v>
      </c>
      <c r="C8">
        <v>1.232587E-3</v>
      </c>
      <c r="D8">
        <v>2.5</v>
      </c>
      <c r="E8">
        <v>6.1440024561115704E-3</v>
      </c>
      <c r="F8">
        <v>0.99385599754388798</v>
      </c>
      <c r="G8">
        <v>97196.979185804201</v>
      </c>
      <c r="H8">
        <v>597.17847884421599</v>
      </c>
      <c r="I8">
        <v>484491.94973191101</v>
      </c>
      <c r="J8">
        <v>5001854.2056755098</v>
      </c>
      <c r="K8">
        <v>51.461004730546598</v>
      </c>
      <c r="L8" t="s">
        <v>13</v>
      </c>
    </row>
    <row r="9" spans="1:12">
      <c r="A9">
        <v>30</v>
      </c>
      <c r="B9">
        <v>5</v>
      </c>
      <c r="C9">
        <v>1.610874E-3</v>
      </c>
      <c r="D9">
        <v>2.5</v>
      </c>
      <c r="E9">
        <v>8.0220636655371005E-3</v>
      </c>
      <c r="F9">
        <v>0.99197793633446296</v>
      </c>
      <c r="G9">
        <v>96599.800706959999</v>
      </c>
      <c r="H9">
        <v>774.92975134943799</v>
      </c>
      <c r="I9">
        <v>481061.67915642599</v>
      </c>
      <c r="J9">
        <v>4517362.2559436001</v>
      </c>
      <c r="K9">
        <v>46.763680907036502</v>
      </c>
      <c r="L9" t="s">
        <v>13</v>
      </c>
    </row>
    <row r="10" spans="1:12">
      <c r="A10">
        <v>35</v>
      </c>
      <c r="B10">
        <v>5</v>
      </c>
      <c r="C10">
        <v>1.992078E-3</v>
      </c>
      <c r="D10">
        <v>2.5</v>
      </c>
      <c r="E10">
        <v>9.91103113231003E-3</v>
      </c>
      <c r="F10">
        <v>0.99008896886769004</v>
      </c>
      <c r="G10">
        <v>95824.870955610604</v>
      </c>
      <c r="H10">
        <v>949.72327929064295</v>
      </c>
      <c r="I10">
        <v>476750.04657982598</v>
      </c>
      <c r="J10">
        <v>4036300.57678717</v>
      </c>
      <c r="K10">
        <v>42.121638532202397</v>
      </c>
      <c r="L10" t="s">
        <v>13</v>
      </c>
    </row>
    <row r="11" spans="1:12">
      <c r="A11">
        <v>40</v>
      </c>
      <c r="B11">
        <v>5</v>
      </c>
      <c r="C11">
        <v>2.8570739999999998E-3</v>
      </c>
      <c r="D11">
        <v>2.5</v>
      </c>
      <c r="E11">
        <v>1.4184057743516301E-2</v>
      </c>
      <c r="F11">
        <v>0.98581594225648395</v>
      </c>
      <c r="G11">
        <v>94875.147676319903</v>
      </c>
      <c r="H11">
        <v>1345.71457306556</v>
      </c>
      <c r="I11">
        <v>471011.45194893598</v>
      </c>
      <c r="J11">
        <v>3559550.5302073401</v>
      </c>
      <c r="K11">
        <v>37.518260760460301</v>
      </c>
      <c r="L11" t="s">
        <v>13</v>
      </c>
    </row>
    <row r="12" spans="1:12">
      <c r="A12">
        <v>45</v>
      </c>
      <c r="B12">
        <v>5</v>
      </c>
      <c r="C12">
        <v>3.9938059999999999E-3</v>
      </c>
      <c r="D12">
        <v>2.5</v>
      </c>
      <c r="E12">
        <v>1.97716199638962E-2</v>
      </c>
      <c r="F12">
        <v>0.98022838003610402</v>
      </c>
      <c r="G12">
        <v>93529.4331032544</v>
      </c>
      <c r="H12">
        <v>1849.2284067562</v>
      </c>
      <c r="I12">
        <v>463024.09449938103</v>
      </c>
      <c r="J12">
        <v>3088539.0782584101</v>
      </c>
      <c r="K12">
        <v>33.022108397136698</v>
      </c>
      <c r="L12" t="s">
        <v>13</v>
      </c>
    </row>
    <row r="13" spans="1:12">
      <c r="A13">
        <v>50</v>
      </c>
      <c r="B13">
        <v>5</v>
      </c>
      <c r="C13">
        <v>5.8713259999999996E-3</v>
      </c>
      <c r="D13">
        <v>2.5</v>
      </c>
      <c r="E13">
        <v>2.8931957612595701E-2</v>
      </c>
      <c r="F13">
        <v>0.97106804238740396</v>
      </c>
      <c r="G13">
        <v>91680.2046964982</v>
      </c>
      <c r="H13">
        <v>2652.4877961931802</v>
      </c>
      <c r="I13">
        <v>451769.80399200798</v>
      </c>
      <c r="J13">
        <v>2625514.9837590298</v>
      </c>
      <c r="K13">
        <v>28.6377522001684</v>
      </c>
      <c r="L13" t="s">
        <v>13</v>
      </c>
    </row>
    <row r="14" spans="1:12">
      <c r="A14">
        <v>55</v>
      </c>
      <c r="B14">
        <v>5</v>
      </c>
      <c r="C14">
        <v>1.0154243E-2</v>
      </c>
      <c r="D14">
        <v>2.5</v>
      </c>
      <c r="E14">
        <v>4.9514265295556102E-2</v>
      </c>
      <c r="F14">
        <v>0.95048573470444397</v>
      </c>
      <c r="G14">
        <v>89027.716900304993</v>
      </c>
      <c r="H14">
        <v>4408.1419932593699</v>
      </c>
      <c r="I14">
        <v>434118.229518376</v>
      </c>
      <c r="J14">
        <v>2173745.17976702</v>
      </c>
      <c r="K14">
        <v>24.4164992145224</v>
      </c>
      <c r="L14" t="s">
        <v>13</v>
      </c>
    </row>
    <row r="15" spans="1:12">
      <c r="A15">
        <v>60</v>
      </c>
      <c r="B15">
        <v>5</v>
      </c>
      <c r="C15">
        <v>1.5233052E-2</v>
      </c>
      <c r="D15">
        <v>2.5</v>
      </c>
      <c r="E15">
        <v>7.3371095709404199E-2</v>
      </c>
      <c r="F15">
        <v>0.92662890429059597</v>
      </c>
      <c r="G15">
        <v>84619.574907045593</v>
      </c>
      <c r="H15">
        <v>6208.6309293939403</v>
      </c>
      <c r="I15">
        <v>407576.29721174302</v>
      </c>
      <c r="J15">
        <v>1739626.95024864</v>
      </c>
      <c r="K15">
        <v>20.558209517828701</v>
      </c>
      <c r="L15" t="s">
        <v>13</v>
      </c>
    </row>
    <row r="16" spans="1:12">
      <c r="A16">
        <v>65</v>
      </c>
      <c r="B16">
        <v>5</v>
      </c>
      <c r="C16">
        <v>2.2509187E-2</v>
      </c>
      <c r="D16">
        <v>2.5</v>
      </c>
      <c r="E16">
        <v>0.106550047632455</v>
      </c>
      <c r="F16">
        <v>0.89344995236754499</v>
      </c>
      <c r="G16">
        <v>78410.943977651696</v>
      </c>
      <c r="H16">
        <v>8354.6898157245596</v>
      </c>
      <c r="I16">
        <v>371167.99534894701</v>
      </c>
      <c r="J16">
        <v>1332050.6530369001</v>
      </c>
      <c r="K16">
        <v>16.988070611884901</v>
      </c>
      <c r="L16" t="s">
        <v>13</v>
      </c>
    </row>
    <row r="17" spans="1:12">
      <c r="A17">
        <v>70</v>
      </c>
      <c r="B17">
        <v>5</v>
      </c>
      <c r="C17">
        <v>3.3676175000000003E-2</v>
      </c>
      <c r="D17">
        <v>2.5</v>
      </c>
      <c r="E17">
        <v>0.15530562636972201</v>
      </c>
      <c r="F17">
        <v>0.84469437363027799</v>
      </c>
      <c r="G17">
        <v>70056.254161927107</v>
      </c>
      <c r="H17">
        <v>10880.130433734499</v>
      </c>
      <c r="I17">
        <v>323080.94472529902</v>
      </c>
      <c r="J17">
        <v>960882.65768795297</v>
      </c>
      <c r="K17">
        <v>13.7158726109875</v>
      </c>
      <c r="L17" t="s">
        <v>13</v>
      </c>
    </row>
    <row r="18" spans="1:12">
      <c r="A18">
        <v>75</v>
      </c>
      <c r="B18">
        <v>5</v>
      </c>
      <c r="C18">
        <v>5.2685475000000002E-2</v>
      </c>
      <c r="D18">
        <v>2.5</v>
      </c>
      <c r="E18">
        <v>0.23276856850774799</v>
      </c>
      <c r="F18">
        <v>0.76723143149225204</v>
      </c>
      <c r="G18">
        <v>59176.123728192601</v>
      </c>
      <c r="H18">
        <v>13774.341610048799</v>
      </c>
      <c r="I18">
        <v>261444.76461584101</v>
      </c>
      <c r="J18">
        <v>637801.71296265395</v>
      </c>
      <c r="K18">
        <v>10.778024527125201</v>
      </c>
      <c r="L18" t="s">
        <v>13</v>
      </c>
    </row>
    <row r="19" spans="1:12">
      <c r="A19">
        <v>80</v>
      </c>
      <c r="B19">
        <v>5</v>
      </c>
      <c r="C19">
        <v>8.4128244000000005E-2</v>
      </c>
      <c r="D19">
        <v>2.5</v>
      </c>
      <c r="E19">
        <v>0.34754528388969602</v>
      </c>
      <c r="F19">
        <v>0.65245471611030403</v>
      </c>
      <c r="G19">
        <v>45401.782118143798</v>
      </c>
      <c r="H19">
        <v>15779.1752553484</v>
      </c>
      <c r="I19">
        <v>187560.97245234801</v>
      </c>
      <c r="J19">
        <v>376356.94834681298</v>
      </c>
      <c r="K19">
        <v>8.2894752317753309</v>
      </c>
      <c r="L19" t="s">
        <v>13</v>
      </c>
    </row>
    <row r="20" spans="1:12">
      <c r="A20">
        <v>85</v>
      </c>
      <c r="C20">
        <v>0.15690274500000001</v>
      </c>
      <c r="E20">
        <v>1</v>
      </c>
      <c r="F20">
        <v>0</v>
      </c>
      <c r="G20">
        <v>29622.606862795401</v>
      </c>
      <c r="H20">
        <v>29622.606862795401</v>
      </c>
      <c r="I20">
        <v>188795.97589446499</v>
      </c>
      <c r="J20">
        <v>188795.97589446499</v>
      </c>
      <c r="K20">
        <v>6.3733747934110401</v>
      </c>
      <c r="L20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topLeftCell="A88" workbookViewId="0">
      <selection activeCell="G15" sqref="G15"/>
    </sheetView>
  </sheetViews>
  <sheetFormatPr baseColWidth="10" defaultRowHeight="15"/>
  <cols>
    <col min="1" max="1" width="10" customWidth="1"/>
    <col min="2" max="2" width="15.7109375" customWidth="1"/>
  </cols>
  <sheetData>
    <row r="1" spans="1:4">
      <c r="A1" t="s">
        <v>33</v>
      </c>
      <c r="B1" t="s">
        <v>34</v>
      </c>
      <c r="C1" t="s">
        <v>35</v>
      </c>
      <c r="D1" t="s">
        <v>36</v>
      </c>
    </row>
    <row r="2" spans="1:4">
      <c r="A2">
        <v>2010</v>
      </c>
      <c r="B2" s="2" t="s">
        <v>14</v>
      </c>
      <c r="C2" t="s">
        <v>37</v>
      </c>
      <c r="D2">
        <v>518</v>
      </c>
    </row>
    <row r="3" spans="1:4">
      <c r="A3">
        <v>2010</v>
      </c>
      <c r="B3" s="2" t="s">
        <v>15</v>
      </c>
      <c r="C3" t="s">
        <v>37</v>
      </c>
      <c r="D3">
        <v>114</v>
      </c>
    </row>
    <row r="4" spans="1:4">
      <c r="A4">
        <v>2010</v>
      </c>
      <c r="B4" s="2" t="s">
        <v>16</v>
      </c>
      <c r="C4" t="s">
        <v>37</v>
      </c>
      <c r="D4">
        <v>68</v>
      </c>
    </row>
    <row r="5" spans="1:4">
      <c r="A5">
        <v>2010</v>
      </c>
      <c r="B5" s="2" t="s">
        <v>17</v>
      </c>
      <c r="C5" t="s">
        <v>37</v>
      </c>
      <c r="D5">
        <v>120</v>
      </c>
    </row>
    <row r="6" spans="1:4">
      <c r="A6">
        <v>2010</v>
      </c>
      <c r="B6" s="2" t="s">
        <v>18</v>
      </c>
      <c r="C6" t="s">
        <v>37</v>
      </c>
      <c r="D6">
        <v>770</v>
      </c>
    </row>
    <row r="7" spans="1:4">
      <c r="A7">
        <v>2010</v>
      </c>
      <c r="B7" s="2" t="s">
        <v>19</v>
      </c>
      <c r="C7" t="s">
        <v>37</v>
      </c>
      <c r="D7">
        <v>1277</v>
      </c>
    </row>
    <row r="8" spans="1:4">
      <c r="A8">
        <v>2010</v>
      </c>
      <c r="B8" s="2" t="s">
        <v>20</v>
      </c>
      <c r="C8" t="s">
        <v>37</v>
      </c>
      <c r="D8">
        <v>1405</v>
      </c>
    </row>
    <row r="9" spans="1:4">
      <c r="A9">
        <v>2010</v>
      </c>
      <c r="B9" s="2" t="s">
        <v>21</v>
      </c>
      <c r="C9" t="s">
        <v>37</v>
      </c>
      <c r="D9">
        <v>1474</v>
      </c>
    </row>
    <row r="10" spans="1:4">
      <c r="A10">
        <v>2010</v>
      </c>
      <c r="B10" s="2" t="s">
        <v>22</v>
      </c>
      <c r="C10" t="s">
        <v>37</v>
      </c>
      <c r="D10">
        <v>1265</v>
      </c>
    </row>
    <row r="11" spans="1:4">
      <c r="A11">
        <v>2010</v>
      </c>
      <c r="B11" s="2" t="s">
        <v>23</v>
      </c>
      <c r="C11" t="s">
        <v>37</v>
      </c>
      <c r="D11">
        <v>1048</v>
      </c>
    </row>
    <row r="12" spans="1:4">
      <c r="A12">
        <v>2010</v>
      </c>
      <c r="B12" s="2" t="s">
        <v>24</v>
      </c>
      <c r="C12" t="s">
        <v>37</v>
      </c>
      <c r="D12">
        <v>821</v>
      </c>
    </row>
    <row r="13" spans="1:4">
      <c r="A13">
        <v>2010</v>
      </c>
      <c r="B13" s="2" t="s">
        <v>25</v>
      </c>
      <c r="C13" t="s">
        <v>37</v>
      </c>
      <c r="D13">
        <v>795</v>
      </c>
    </row>
    <row r="14" spans="1:4">
      <c r="A14">
        <v>2010</v>
      </c>
      <c r="B14" s="2" t="s">
        <v>26</v>
      </c>
      <c r="C14" t="s">
        <v>37</v>
      </c>
      <c r="D14">
        <v>812</v>
      </c>
    </row>
    <row r="15" spans="1:4">
      <c r="A15">
        <v>2010</v>
      </c>
      <c r="B15" s="2" t="s">
        <v>27</v>
      </c>
      <c r="C15" t="s">
        <v>37</v>
      </c>
      <c r="D15">
        <v>848</v>
      </c>
    </row>
    <row r="16" spans="1:4">
      <c r="A16">
        <v>2010</v>
      </c>
      <c r="B16" s="2" t="s">
        <v>28</v>
      </c>
      <c r="C16" t="s">
        <v>37</v>
      </c>
      <c r="D16">
        <v>1094</v>
      </c>
    </row>
    <row r="17" spans="1:4">
      <c r="A17">
        <v>2010</v>
      </c>
      <c r="B17" s="2" t="s">
        <v>29</v>
      </c>
      <c r="C17" t="s">
        <v>37</v>
      </c>
      <c r="D17">
        <v>1149</v>
      </c>
    </row>
    <row r="18" spans="1:4">
      <c r="A18">
        <v>2010</v>
      </c>
      <c r="B18" s="2" t="s">
        <v>30</v>
      </c>
      <c r="C18" t="s">
        <v>37</v>
      </c>
      <c r="D18">
        <v>1136</v>
      </c>
    </row>
    <row r="19" spans="1:4">
      <c r="A19">
        <v>2010</v>
      </c>
      <c r="B19" s="2" t="s">
        <v>31</v>
      </c>
      <c r="C19" t="s">
        <v>37</v>
      </c>
      <c r="D19">
        <v>958</v>
      </c>
    </row>
    <row r="20" spans="1:4">
      <c r="A20">
        <v>2010</v>
      </c>
      <c r="B20" s="2" t="s">
        <v>32</v>
      </c>
      <c r="C20" t="s">
        <v>37</v>
      </c>
      <c r="D20">
        <v>1136</v>
      </c>
    </row>
    <row r="21" spans="1:4">
      <c r="A21">
        <v>2019</v>
      </c>
      <c r="B21" s="2" t="s">
        <v>14</v>
      </c>
      <c r="C21" t="s">
        <v>37</v>
      </c>
      <c r="D21">
        <v>472</v>
      </c>
    </row>
    <row r="22" spans="1:4">
      <c r="A22">
        <v>2019</v>
      </c>
      <c r="B22" s="2" t="s">
        <v>15</v>
      </c>
      <c r="C22" t="s">
        <v>37</v>
      </c>
      <c r="D22">
        <v>90</v>
      </c>
    </row>
    <row r="23" spans="1:4">
      <c r="A23">
        <v>2019</v>
      </c>
      <c r="B23" s="2" t="s">
        <v>16</v>
      </c>
      <c r="C23" t="s">
        <v>37</v>
      </c>
      <c r="D23">
        <v>44</v>
      </c>
    </row>
    <row r="24" spans="1:4">
      <c r="A24">
        <v>2019</v>
      </c>
      <c r="B24" s="2" t="s">
        <v>17</v>
      </c>
      <c r="C24" t="s">
        <v>37</v>
      </c>
      <c r="D24">
        <v>71</v>
      </c>
    </row>
    <row r="25" spans="1:4">
      <c r="A25">
        <v>2019</v>
      </c>
      <c r="B25" s="2" t="s">
        <v>18</v>
      </c>
      <c r="C25" t="s">
        <v>37</v>
      </c>
      <c r="D25">
        <v>366</v>
      </c>
    </row>
    <row r="26" spans="1:4">
      <c r="A26">
        <v>2019</v>
      </c>
      <c r="B26" s="2" t="s">
        <v>19</v>
      </c>
      <c r="C26" t="s">
        <v>37</v>
      </c>
      <c r="D26">
        <v>711</v>
      </c>
    </row>
    <row r="27" spans="1:4">
      <c r="A27">
        <v>2019</v>
      </c>
      <c r="B27" s="2" t="s">
        <v>20</v>
      </c>
      <c r="C27" t="s">
        <v>37</v>
      </c>
      <c r="D27">
        <v>719</v>
      </c>
    </row>
    <row r="28" spans="1:4">
      <c r="A28">
        <v>2019</v>
      </c>
      <c r="B28" s="2" t="s">
        <v>21</v>
      </c>
      <c r="C28" t="s">
        <v>37</v>
      </c>
      <c r="D28">
        <v>717</v>
      </c>
    </row>
    <row r="29" spans="1:4">
      <c r="A29">
        <v>2019</v>
      </c>
      <c r="B29" s="2" t="s">
        <v>22</v>
      </c>
      <c r="C29" t="s">
        <v>37</v>
      </c>
      <c r="D29">
        <v>707</v>
      </c>
    </row>
    <row r="30" spans="1:4">
      <c r="A30">
        <v>2019</v>
      </c>
      <c r="B30" s="2" t="s">
        <v>23</v>
      </c>
      <c r="C30" t="s">
        <v>37</v>
      </c>
      <c r="D30">
        <v>802</v>
      </c>
    </row>
    <row r="31" spans="1:4">
      <c r="A31">
        <v>2019</v>
      </c>
      <c r="B31" s="2" t="s">
        <v>24</v>
      </c>
      <c r="C31" t="s">
        <v>37</v>
      </c>
      <c r="D31">
        <v>877</v>
      </c>
    </row>
    <row r="32" spans="1:4">
      <c r="A32">
        <v>2019</v>
      </c>
      <c r="B32" s="2" t="s">
        <v>25</v>
      </c>
      <c r="C32" t="s">
        <v>37</v>
      </c>
      <c r="D32">
        <v>1072</v>
      </c>
    </row>
    <row r="33" spans="1:4">
      <c r="A33">
        <v>2019</v>
      </c>
      <c r="B33" s="2" t="s">
        <v>26</v>
      </c>
      <c r="C33" t="s">
        <v>37</v>
      </c>
      <c r="D33">
        <v>1125</v>
      </c>
    </row>
    <row r="34" spans="1:4">
      <c r="A34">
        <v>2019</v>
      </c>
      <c r="B34" s="2" t="s">
        <v>27</v>
      </c>
      <c r="C34" t="s">
        <v>37</v>
      </c>
      <c r="D34">
        <v>1221</v>
      </c>
    </row>
    <row r="35" spans="1:4">
      <c r="A35">
        <v>2019</v>
      </c>
      <c r="B35" s="2" t="s">
        <v>28</v>
      </c>
      <c r="C35" t="s">
        <v>37</v>
      </c>
      <c r="D35">
        <v>1205</v>
      </c>
    </row>
    <row r="36" spans="1:4">
      <c r="A36">
        <v>2019</v>
      </c>
      <c r="B36" s="2" t="s">
        <v>29</v>
      </c>
      <c r="C36" t="s">
        <v>37</v>
      </c>
      <c r="D36">
        <v>1360</v>
      </c>
    </row>
    <row r="37" spans="1:4">
      <c r="A37">
        <v>2019</v>
      </c>
      <c r="B37" s="2" t="s">
        <v>30</v>
      </c>
      <c r="C37" t="s">
        <v>37</v>
      </c>
      <c r="D37">
        <v>1336</v>
      </c>
    </row>
    <row r="38" spans="1:4">
      <c r="A38">
        <v>2019</v>
      </c>
      <c r="B38" s="2" t="s">
        <v>31</v>
      </c>
      <c r="C38" t="s">
        <v>37</v>
      </c>
      <c r="D38">
        <v>1335</v>
      </c>
    </row>
    <row r="39" spans="1:4">
      <c r="A39">
        <v>2019</v>
      </c>
      <c r="B39" s="2" t="s">
        <v>32</v>
      </c>
      <c r="C39" t="s">
        <v>37</v>
      </c>
      <c r="D39">
        <v>1477</v>
      </c>
    </row>
    <row r="40" spans="1:4">
      <c r="A40">
        <v>2021</v>
      </c>
      <c r="B40" s="2" t="s">
        <v>14</v>
      </c>
      <c r="C40" t="s">
        <v>37</v>
      </c>
      <c r="D40">
        <v>418</v>
      </c>
    </row>
    <row r="41" spans="1:4">
      <c r="A41">
        <v>2021</v>
      </c>
      <c r="B41" s="2" t="s">
        <v>15</v>
      </c>
      <c r="C41" t="s">
        <v>37</v>
      </c>
      <c r="D41">
        <v>101</v>
      </c>
    </row>
    <row r="42" spans="1:4">
      <c r="A42">
        <v>2021</v>
      </c>
      <c r="B42" s="2" t="s">
        <v>16</v>
      </c>
      <c r="C42" t="s">
        <v>37</v>
      </c>
      <c r="D42">
        <v>44</v>
      </c>
    </row>
    <row r="43" spans="1:4">
      <c r="A43">
        <v>2021</v>
      </c>
      <c r="B43" s="2" t="s">
        <v>17</v>
      </c>
      <c r="C43" t="s">
        <v>37</v>
      </c>
      <c r="D43">
        <v>89</v>
      </c>
    </row>
    <row r="44" spans="1:4">
      <c r="A44">
        <v>2021</v>
      </c>
      <c r="B44" s="2" t="s">
        <v>18</v>
      </c>
      <c r="C44" t="s">
        <v>37</v>
      </c>
      <c r="D44">
        <v>371</v>
      </c>
    </row>
    <row r="45" spans="1:4">
      <c r="A45">
        <v>2021</v>
      </c>
      <c r="B45" s="2" t="s">
        <v>19</v>
      </c>
      <c r="C45" t="s">
        <v>37</v>
      </c>
      <c r="D45">
        <v>601</v>
      </c>
    </row>
    <row r="46" spans="1:4">
      <c r="A46">
        <v>2021</v>
      </c>
      <c r="B46" s="2" t="s">
        <v>20</v>
      </c>
      <c r="C46" t="s">
        <v>37</v>
      </c>
      <c r="D46">
        <v>731</v>
      </c>
    </row>
    <row r="47" spans="1:4">
      <c r="A47">
        <v>2021</v>
      </c>
      <c r="B47" s="2" t="s">
        <v>21</v>
      </c>
      <c r="C47" t="s">
        <v>37</v>
      </c>
      <c r="D47">
        <v>741</v>
      </c>
    </row>
    <row r="48" spans="1:4">
      <c r="A48">
        <v>2021</v>
      </c>
      <c r="B48" s="2" t="s">
        <v>22</v>
      </c>
      <c r="C48" t="s">
        <v>37</v>
      </c>
      <c r="D48">
        <v>784</v>
      </c>
    </row>
    <row r="49" spans="1:4">
      <c r="A49">
        <v>2021</v>
      </c>
      <c r="B49" s="2" t="s">
        <v>23</v>
      </c>
      <c r="C49" t="s">
        <v>37</v>
      </c>
      <c r="D49">
        <v>839</v>
      </c>
    </row>
    <row r="50" spans="1:4">
      <c r="A50">
        <v>2021</v>
      </c>
      <c r="B50" s="2" t="s">
        <v>24</v>
      </c>
      <c r="C50" t="s">
        <v>37</v>
      </c>
      <c r="D50">
        <v>1101</v>
      </c>
    </row>
    <row r="51" spans="1:4">
      <c r="A51">
        <v>2021</v>
      </c>
      <c r="B51" s="2" t="s">
        <v>25</v>
      </c>
      <c r="C51" t="s">
        <v>37</v>
      </c>
      <c r="D51">
        <v>1313</v>
      </c>
    </row>
    <row r="52" spans="1:4">
      <c r="A52">
        <v>2021</v>
      </c>
      <c r="B52" s="2" t="s">
        <v>26</v>
      </c>
      <c r="C52" t="s">
        <v>37</v>
      </c>
      <c r="D52">
        <v>1407</v>
      </c>
    </row>
    <row r="53" spans="1:4">
      <c r="A53">
        <v>2021</v>
      </c>
      <c r="B53" s="2" t="s">
        <v>27</v>
      </c>
      <c r="C53" t="s">
        <v>37</v>
      </c>
      <c r="D53">
        <v>1688</v>
      </c>
    </row>
    <row r="54" spans="1:4">
      <c r="A54">
        <v>2021</v>
      </c>
      <c r="B54" s="2" t="s">
        <v>28</v>
      </c>
      <c r="C54" t="s">
        <v>37</v>
      </c>
      <c r="D54">
        <v>1658</v>
      </c>
    </row>
    <row r="55" spans="1:4">
      <c r="A55">
        <v>2021</v>
      </c>
      <c r="B55" s="2" t="s">
        <v>29</v>
      </c>
      <c r="C55" t="s">
        <v>37</v>
      </c>
      <c r="D55">
        <v>1792</v>
      </c>
    </row>
    <row r="56" spans="1:4">
      <c r="A56">
        <v>2021</v>
      </c>
      <c r="B56" s="2" t="s">
        <v>30</v>
      </c>
      <c r="C56" t="s">
        <v>37</v>
      </c>
      <c r="D56">
        <v>1644</v>
      </c>
    </row>
    <row r="57" spans="1:4">
      <c r="A57">
        <v>2021</v>
      </c>
      <c r="B57" s="2" t="s">
        <v>31</v>
      </c>
      <c r="C57" t="s">
        <v>37</v>
      </c>
      <c r="D57">
        <v>1543</v>
      </c>
    </row>
    <row r="58" spans="1:4">
      <c r="A58">
        <v>2021</v>
      </c>
      <c r="B58" s="2" t="s">
        <v>32</v>
      </c>
      <c r="C58" t="s">
        <v>37</v>
      </c>
      <c r="D58">
        <v>1749</v>
      </c>
    </row>
    <row r="59" spans="1:4">
      <c r="A59">
        <v>2010</v>
      </c>
      <c r="B59" s="2" t="s">
        <v>14</v>
      </c>
      <c r="C59" t="s">
        <v>38</v>
      </c>
      <c r="D59">
        <v>397</v>
      </c>
    </row>
    <row r="60" spans="1:4">
      <c r="A60">
        <v>2010</v>
      </c>
      <c r="B60" s="2" t="s">
        <v>15</v>
      </c>
      <c r="C60" t="s">
        <v>38</v>
      </c>
      <c r="D60">
        <v>75</v>
      </c>
    </row>
    <row r="61" spans="1:4">
      <c r="A61">
        <v>2010</v>
      </c>
      <c r="B61" s="2" t="s">
        <v>16</v>
      </c>
      <c r="C61" t="s">
        <v>38</v>
      </c>
      <c r="D61">
        <v>41</v>
      </c>
    </row>
    <row r="62" spans="1:4">
      <c r="A62">
        <v>2010</v>
      </c>
      <c r="B62" s="2" t="s">
        <v>17</v>
      </c>
      <c r="C62" t="s">
        <v>38</v>
      </c>
      <c r="D62">
        <v>57</v>
      </c>
    </row>
    <row r="63" spans="1:4">
      <c r="A63">
        <v>2010</v>
      </c>
      <c r="B63" s="2" t="s">
        <v>18</v>
      </c>
      <c r="C63" t="s">
        <v>38</v>
      </c>
      <c r="D63">
        <v>192</v>
      </c>
    </row>
    <row r="64" spans="1:4">
      <c r="A64">
        <v>2010</v>
      </c>
      <c r="B64" s="2" t="s">
        <v>19</v>
      </c>
      <c r="C64" t="s">
        <v>38</v>
      </c>
      <c r="D64">
        <v>207</v>
      </c>
    </row>
    <row r="65" spans="1:4">
      <c r="A65">
        <v>2010</v>
      </c>
      <c r="B65" s="2" t="s">
        <v>20</v>
      </c>
      <c r="C65" t="s">
        <v>38</v>
      </c>
      <c r="D65">
        <v>204</v>
      </c>
    </row>
    <row r="66" spans="1:4">
      <c r="A66">
        <v>2010</v>
      </c>
      <c r="B66" s="2" t="s">
        <v>21</v>
      </c>
      <c r="C66" t="s">
        <v>38</v>
      </c>
      <c r="D66">
        <v>237</v>
      </c>
    </row>
    <row r="67" spans="1:4">
      <c r="A67">
        <v>2010</v>
      </c>
      <c r="B67" s="2" t="s">
        <v>22</v>
      </c>
      <c r="C67" t="s">
        <v>38</v>
      </c>
      <c r="D67">
        <v>222</v>
      </c>
    </row>
    <row r="68" spans="1:4">
      <c r="A68">
        <v>2010</v>
      </c>
      <c r="B68" s="2" t="s">
        <v>23</v>
      </c>
      <c r="C68" t="s">
        <v>38</v>
      </c>
      <c r="D68">
        <v>261</v>
      </c>
    </row>
    <row r="69" spans="1:4">
      <c r="A69">
        <v>2010</v>
      </c>
      <c r="B69" s="2" t="s">
        <v>24</v>
      </c>
      <c r="C69" t="s">
        <v>38</v>
      </c>
      <c r="D69">
        <v>327</v>
      </c>
    </row>
    <row r="70" spans="1:4">
      <c r="A70">
        <v>2010</v>
      </c>
      <c r="B70" s="2" t="s">
        <v>25</v>
      </c>
      <c r="C70" t="s">
        <v>38</v>
      </c>
      <c r="D70">
        <v>405</v>
      </c>
    </row>
    <row r="71" spans="1:4">
      <c r="A71">
        <v>2010</v>
      </c>
      <c r="B71" s="2" t="s">
        <v>26</v>
      </c>
      <c r="C71" t="s">
        <v>38</v>
      </c>
      <c r="D71">
        <v>493</v>
      </c>
    </row>
    <row r="72" spans="1:4">
      <c r="A72">
        <v>2010</v>
      </c>
      <c r="B72" s="2" t="s">
        <v>27</v>
      </c>
      <c r="C72" t="s">
        <v>38</v>
      </c>
      <c r="D72">
        <v>645</v>
      </c>
    </row>
    <row r="73" spans="1:4">
      <c r="A73">
        <v>2010</v>
      </c>
      <c r="B73" s="2" t="s">
        <v>28</v>
      </c>
      <c r="C73" t="s">
        <v>38</v>
      </c>
      <c r="D73">
        <v>762</v>
      </c>
    </row>
    <row r="74" spans="1:4">
      <c r="A74">
        <v>2010</v>
      </c>
      <c r="B74" s="2" t="s">
        <v>29</v>
      </c>
      <c r="C74" t="s">
        <v>38</v>
      </c>
      <c r="D74">
        <v>952</v>
      </c>
    </row>
    <row r="75" spans="1:4">
      <c r="A75">
        <v>2010</v>
      </c>
      <c r="B75" s="2" t="s">
        <v>30</v>
      </c>
      <c r="C75" t="s">
        <v>38</v>
      </c>
      <c r="D75">
        <v>978</v>
      </c>
    </row>
    <row r="76" spans="1:4">
      <c r="A76">
        <v>2010</v>
      </c>
      <c r="B76" s="2" t="s">
        <v>31</v>
      </c>
      <c r="C76" t="s">
        <v>38</v>
      </c>
      <c r="D76">
        <v>981</v>
      </c>
    </row>
    <row r="77" spans="1:4">
      <c r="A77">
        <v>2010</v>
      </c>
      <c r="B77" s="2" t="s">
        <v>32</v>
      </c>
      <c r="C77" t="s">
        <v>38</v>
      </c>
      <c r="D77">
        <v>1397</v>
      </c>
    </row>
    <row r="78" spans="1:4">
      <c r="A78">
        <v>2019</v>
      </c>
      <c r="B78" s="2" t="s">
        <v>14</v>
      </c>
      <c r="C78" t="s">
        <v>38</v>
      </c>
      <c r="D78">
        <v>374</v>
      </c>
    </row>
    <row r="79" spans="1:4">
      <c r="A79">
        <v>2019</v>
      </c>
      <c r="B79" s="2" t="s">
        <v>15</v>
      </c>
      <c r="C79" t="s">
        <v>38</v>
      </c>
      <c r="D79">
        <v>85</v>
      </c>
    </row>
    <row r="80" spans="1:4">
      <c r="A80">
        <v>2019</v>
      </c>
      <c r="B80" s="2" t="s">
        <v>16</v>
      </c>
      <c r="C80" t="s">
        <v>38</v>
      </c>
      <c r="D80">
        <v>43</v>
      </c>
    </row>
    <row r="81" spans="1:4">
      <c r="A81">
        <v>2019</v>
      </c>
      <c r="B81" s="2" t="s">
        <v>17</v>
      </c>
      <c r="C81" t="s">
        <v>38</v>
      </c>
      <c r="D81">
        <v>51</v>
      </c>
    </row>
    <row r="82" spans="1:4">
      <c r="A82">
        <v>2019</v>
      </c>
      <c r="B82" s="2" t="s">
        <v>18</v>
      </c>
      <c r="C82" t="s">
        <v>38</v>
      </c>
      <c r="D82">
        <v>135</v>
      </c>
    </row>
    <row r="83" spans="1:4">
      <c r="A83">
        <v>2019</v>
      </c>
      <c r="B83" s="2" t="s">
        <v>19</v>
      </c>
      <c r="C83" t="s">
        <v>38</v>
      </c>
      <c r="D83">
        <v>178</v>
      </c>
    </row>
    <row r="84" spans="1:4">
      <c r="A84">
        <v>2019</v>
      </c>
      <c r="B84" s="2" t="s">
        <v>20</v>
      </c>
      <c r="C84" t="s">
        <v>38</v>
      </c>
      <c r="D84">
        <v>158</v>
      </c>
    </row>
    <row r="85" spans="1:4">
      <c r="A85">
        <v>2019</v>
      </c>
      <c r="B85" s="2" t="s">
        <v>21</v>
      </c>
      <c r="C85" t="s">
        <v>38</v>
      </c>
      <c r="D85">
        <v>171</v>
      </c>
    </row>
    <row r="86" spans="1:4">
      <c r="A86">
        <v>2019</v>
      </c>
      <c r="B86" s="2" t="s">
        <v>22</v>
      </c>
      <c r="C86" t="s">
        <v>38</v>
      </c>
      <c r="D86">
        <v>205</v>
      </c>
    </row>
    <row r="87" spans="1:4">
      <c r="A87">
        <v>2019</v>
      </c>
      <c r="B87" s="2" t="s">
        <v>23</v>
      </c>
      <c r="C87" t="s">
        <v>38</v>
      </c>
      <c r="D87">
        <v>304</v>
      </c>
    </row>
    <row r="88" spans="1:4">
      <c r="A88">
        <v>2019</v>
      </c>
      <c r="B88" s="2" t="s">
        <v>24</v>
      </c>
      <c r="C88" t="s">
        <v>38</v>
      </c>
      <c r="D88">
        <v>360</v>
      </c>
    </row>
    <row r="89" spans="1:4">
      <c r="A89">
        <v>2019</v>
      </c>
      <c r="B89" s="2" t="s">
        <v>25</v>
      </c>
      <c r="C89" t="s">
        <v>38</v>
      </c>
      <c r="D89">
        <v>518</v>
      </c>
    </row>
    <row r="90" spans="1:4">
      <c r="A90">
        <v>2019</v>
      </c>
      <c r="B90" s="2" t="s">
        <v>26</v>
      </c>
      <c r="C90" t="s">
        <v>38</v>
      </c>
      <c r="D90">
        <v>647</v>
      </c>
    </row>
    <row r="91" spans="1:4">
      <c r="A91">
        <v>2019</v>
      </c>
      <c r="B91" s="2" t="s">
        <v>27</v>
      </c>
      <c r="C91" t="s">
        <v>38</v>
      </c>
      <c r="D91">
        <v>827</v>
      </c>
    </row>
    <row r="92" spans="1:4">
      <c r="A92">
        <v>2019</v>
      </c>
      <c r="B92" s="2" t="s">
        <v>28</v>
      </c>
      <c r="C92" t="s">
        <v>38</v>
      </c>
      <c r="D92">
        <v>902</v>
      </c>
    </row>
    <row r="93" spans="1:4">
      <c r="A93">
        <v>2019</v>
      </c>
      <c r="B93" s="2" t="s">
        <v>29</v>
      </c>
      <c r="C93" t="s">
        <v>38</v>
      </c>
      <c r="D93">
        <v>1068</v>
      </c>
    </row>
    <row r="94" spans="1:4">
      <c r="A94">
        <v>2019</v>
      </c>
      <c r="B94" s="2" t="s">
        <v>30</v>
      </c>
      <c r="C94" t="s">
        <v>38</v>
      </c>
      <c r="D94">
        <v>1178</v>
      </c>
    </row>
    <row r="95" spans="1:4">
      <c r="A95">
        <v>2019</v>
      </c>
      <c r="B95" s="2" t="s">
        <v>31</v>
      </c>
      <c r="C95" t="s">
        <v>38</v>
      </c>
      <c r="D95">
        <v>1203</v>
      </c>
    </row>
    <row r="96" spans="1:4">
      <c r="A96">
        <v>2019</v>
      </c>
      <c r="B96" s="2" t="s">
        <v>32</v>
      </c>
      <c r="C96" t="s">
        <v>38</v>
      </c>
      <c r="D96">
        <v>1866</v>
      </c>
    </row>
    <row r="97" spans="1:4">
      <c r="A97">
        <v>2021</v>
      </c>
      <c r="B97" s="2" t="s">
        <v>14</v>
      </c>
      <c r="C97" t="s">
        <v>38</v>
      </c>
      <c r="D97">
        <v>333</v>
      </c>
    </row>
    <row r="98" spans="1:4">
      <c r="A98">
        <v>2021</v>
      </c>
      <c r="B98" s="2" t="s">
        <v>15</v>
      </c>
      <c r="C98" t="s">
        <v>38</v>
      </c>
      <c r="D98">
        <v>68</v>
      </c>
    </row>
    <row r="99" spans="1:4">
      <c r="A99">
        <v>2021</v>
      </c>
      <c r="B99" s="2" t="s">
        <v>16</v>
      </c>
      <c r="C99" t="s">
        <v>38</v>
      </c>
      <c r="D99">
        <v>37</v>
      </c>
    </row>
    <row r="100" spans="1:4">
      <c r="A100">
        <v>2021</v>
      </c>
      <c r="B100" s="2" t="s">
        <v>17</v>
      </c>
      <c r="C100" t="s">
        <v>38</v>
      </c>
      <c r="D100">
        <v>50</v>
      </c>
    </row>
    <row r="101" spans="1:4">
      <c r="A101">
        <v>2021</v>
      </c>
      <c r="B101" s="2" t="s">
        <v>18</v>
      </c>
      <c r="C101" t="s">
        <v>38</v>
      </c>
      <c r="D101">
        <v>118</v>
      </c>
    </row>
    <row r="102" spans="1:4">
      <c r="A102">
        <v>2021</v>
      </c>
      <c r="B102" s="2" t="s">
        <v>19</v>
      </c>
      <c r="C102" t="s">
        <v>38</v>
      </c>
      <c r="D102">
        <v>189</v>
      </c>
    </row>
    <row r="103" spans="1:4">
      <c r="A103">
        <v>2021</v>
      </c>
      <c r="B103" s="2" t="s">
        <v>20</v>
      </c>
      <c r="C103" t="s">
        <v>38</v>
      </c>
      <c r="D103">
        <v>189</v>
      </c>
    </row>
    <row r="104" spans="1:4">
      <c r="A104">
        <v>2021</v>
      </c>
      <c r="B104" s="2" t="s">
        <v>21</v>
      </c>
      <c r="C104" t="s">
        <v>38</v>
      </c>
      <c r="D104">
        <v>228</v>
      </c>
    </row>
    <row r="105" spans="1:4">
      <c r="A105">
        <v>2021</v>
      </c>
      <c r="B105" s="2" t="s">
        <v>22</v>
      </c>
      <c r="C105" t="s">
        <v>38</v>
      </c>
      <c r="D105">
        <v>265</v>
      </c>
    </row>
    <row r="106" spans="1:4">
      <c r="A106">
        <v>2021</v>
      </c>
      <c r="B106" s="2" t="s">
        <v>23</v>
      </c>
      <c r="C106" t="s">
        <v>38</v>
      </c>
      <c r="D106">
        <v>370</v>
      </c>
    </row>
    <row r="107" spans="1:4">
      <c r="A107">
        <v>2021</v>
      </c>
      <c r="B107" s="2" t="s">
        <v>24</v>
      </c>
      <c r="C107" t="s">
        <v>38</v>
      </c>
      <c r="D107">
        <v>519</v>
      </c>
    </row>
    <row r="108" spans="1:4">
      <c r="A108">
        <v>2021</v>
      </c>
      <c r="B108" s="2" t="s">
        <v>25</v>
      </c>
      <c r="C108" t="s">
        <v>38</v>
      </c>
      <c r="D108">
        <v>692</v>
      </c>
    </row>
    <row r="109" spans="1:4">
      <c r="A109">
        <v>2021</v>
      </c>
      <c r="B109" s="2" t="s">
        <v>26</v>
      </c>
      <c r="C109" t="s">
        <v>38</v>
      </c>
      <c r="D109">
        <v>966</v>
      </c>
    </row>
    <row r="110" spans="1:4">
      <c r="A110">
        <v>2021</v>
      </c>
      <c r="B110" s="2" t="s">
        <v>27</v>
      </c>
      <c r="C110" t="s">
        <v>38</v>
      </c>
      <c r="D110">
        <v>1201</v>
      </c>
    </row>
    <row r="111" spans="1:4">
      <c r="A111">
        <v>2021</v>
      </c>
      <c r="B111" s="2" t="s">
        <v>28</v>
      </c>
      <c r="C111" t="s">
        <v>38</v>
      </c>
      <c r="D111">
        <v>1272</v>
      </c>
    </row>
    <row r="112" spans="1:4">
      <c r="A112">
        <v>2021</v>
      </c>
      <c r="B112" s="2" t="s">
        <v>29</v>
      </c>
      <c r="C112" t="s">
        <v>38</v>
      </c>
      <c r="D112">
        <v>1402</v>
      </c>
    </row>
    <row r="113" spans="1:4">
      <c r="A113">
        <v>2021</v>
      </c>
      <c r="B113" s="2" t="s">
        <v>30</v>
      </c>
      <c r="C113" t="s">
        <v>38</v>
      </c>
      <c r="D113">
        <v>1487</v>
      </c>
    </row>
    <row r="114" spans="1:4">
      <c r="A114">
        <v>2021</v>
      </c>
      <c r="B114" s="2" t="s">
        <v>31</v>
      </c>
      <c r="C114" t="s">
        <v>38</v>
      </c>
      <c r="D114">
        <v>1519</v>
      </c>
    </row>
    <row r="115" spans="1:4">
      <c r="A115">
        <v>2021</v>
      </c>
      <c r="B115" s="2" t="s">
        <v>32</v>
      </c>
      <c r="C115" t="s">
        <v>38</v>
      </c>
      <c r="D115">
        <v>2155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Views>
    <sheetView topLeftCell="A61" workbookViewId="0">
      <selection activeCell="H14" sqref="H14"/>
    </sheetView>
  </sheetViews>
  <sheetFormatPr baseColWidth="10" defaultColWidth="9.140625" defaultRowHeight="15"/>
  <cols>
    <col min="1" max="1" width="9.140625" style="3"/>
    <col min="2" max="2" width="17.28515625" style="3" customWidth="1"/>
    <col min="3" max="5" width="9.140625" style="3" customWidth="1"/>
    <col min="6" max="6" width="15.28515625" style="3" customWidth="1"/>
    <col min="7" max="9" width="9.140625" style="3" customWidth="1"/>
    <col min="10" max="12" width="9.140625" style="3"/>
    <col min="13" max="13" width="17" style="3" customWidth="1"/>
    <col min="14" max="14" width="9.42578125" style="3" bestFit="1" customWidth="1"/>
    <col min="15" max="15" width="12.42578125" style="3" customWidth="1"/>
    <col min="16" max="16384" width="9.140625" style="3"/>
  </cols>
  <sheetData>
    <row r="1" spans="1:15">
      <c r="A1" s="3" t="s">
        <v>39</v>
      </c>
      <c r="B1" s="4"/>
      <c r="C1" s="4"/>
      <c r="D1" s="4"/>
      <c r="E1" s="4"/>
      <c r="F1" s="4"/>
      <c r="G1" s="4"/>
      <c r="H1" s="4"/>
      <c r="I1" s="4"/>
      <c r="N1" s="3" t="s">
        <v>37</v>
      </c>
      <c r="O1" s="3" t="s">
        <v>38</v>
      </c>
    </row>
    <row r="2" spans="1:15">
      <c r="A2" s="3" t="s">
        <v>40</v>
      </c>
      <c r="B2" s="4"/>
      <c r="C2" s="4"/>
      <c r="D2" s="4"/>
      <c r="E2" s="4"/>
      <c r="F2" s="4"/>
      <c r="G2" s="4"/>
      <c r="H2" s="4"/>
      <c r="I2" s="4"/>
      <c r="L2" s="3">
        <v>2010</v>
      </c>
      <c r="M2" s="3" t="s">
        <v>41</v>
      </c>
      <c r="N2" s="3">
        <f>SUM(D73:D77)</f>
        <v>63</v>
      </c>
      <c r="O2" s="3">
        <f>SUM(E73:E77)</f>
        <v>2</v>
      </c>
    </row>
    <row r="3" spans="1:15">
      <c r="A3" s="3" t="s">
        <v>42</v>
      </c>
      <c r="B3" s="4"/>
      <c r="C3" s="4"/>
      <c r="D3" s="4"/>
      <c r="E3" s="4"/>
      <c r="F3" s="4"/>
      <c r="G3" s="4"/>
      <c r="H3" s="4"/>
      <c r="I3" s="4"/>
      <c r="L3" s="3">
        <v>2019</v>
      </c>
      <c r="M3" s="3" t="s">
        <v>41</v>
      </c>
      <c r="N3" s="3">
        <f>D122</f>
        <v>2</v>
      </c>
      <c r="O3" s="3">
        <v>0</v>
      </c>
    </row>
    <row r="4" spans="1:15">
      <c r="A4" s="3" t="s">
        <v>43</v>
      </c>
      <c r="B4" s="4"/>
      <c r="C4" s="4"/>
      <c r="D4" s="4"/>
      <c r="E4" s="4"/>
      <c r="F4" s="4"/>
      <c r="G4" s="4"/>
      <c r="H4" s="4"/>
      <c r="I4" s="4"/>
      <c r="L4" s="3">
        <v>2021</v>
      </c>
      <c r="M4" s="3" t="s">
        <v>41</v>
      </c>
      <c r="N4" s="3">
        <f>SUM(D157)</f>
        <v>118</v>
      </c>
      <c r="O4" s="3">
        <f>SUM(E157)</f>
        <v>19</v>
      </c>
    </row>
    <row r="5" spans="1:15">
      <c r="B5" s="4"/>
      <c r="C5" s="4"/>
      <c r="D5" s="4"/>
      <c r="E5" s="4"/>
      <c r="F5" s="4"/>
      <c r="G5" s="4"/>
      <c r="H5" s="4"/>
      <c r="I5" s="4"/>
    </row>
    <row r="6" spans="1:15">
      <c r="A6" s="3" t="s">
        <v>42</v>
      </c>
      <c r="B6" s="4" t="s">
        <v>42</v>
      </c>
      <c r="C6" s="4" t="s">
        <v>42</v>
      </c>
      <c r="D6" s="4" t="s">
        <v>44</v>
      </c>
      <c r="E6" s="4" t="s">
        <v>45</v>
      </c>
      <c r="F6" s="4"/>
      <c r="G6" s="4"/>
      <c r="H6" s="4"/>
      <c r="I6" s="4"/>
      <c r="O6" s="3" t="s">
        <v>46</v>
      </c>
    </row>
    <row r="7" spans="1:15">
      <c r="A7" s="5">
        <v>2010</v>
      </c>
      <c r="B7" s="4" t="s">
        <v>47</v>
      </c>
      <c r="C7" s="6">
        <v>2010</v>
      </c>
      <c r="D7" s="7">
        <v>5520</v>
      </c>
      <c r="E7" s="6">
        <v>560</v>
      </c>
      <c r="F7" s="6"/>
      <c r="G7" s="4"/>
      <c r="H7" s="4"/>
      <c r="I7" s="4"/>
      <c r="K7" s="3">
        <v>2010</v>
      </c>
      <c r="L7" s="3" t="s">
        <v>37</v>
      </c>
      <c r="M7" s="4" t="s">
        <v>48</v>
      </c>
      <c r="N7" s="3">
        <f>O7+(O7/SUM($O$7:$O$25))*$N$2</f>
        <v>3.0335046977486262</v>
      </c>
      <c r="O7" s="3">
        <f>SUM(D16:D17)</f>
        <v>3</v>
      </c>
    </row>
    <row r="8" spans="1:15">
      <c r="A8" s="3">
        <v>2010</v>
      </c>
      <c r="B8" s="4" t="s">
        <v>47</v>
      </c>
      <c r="C8" s="6">
        <v>2011</v>
      </c>
      <c r="D8" s="6">
        <v>123</v>
      </c>
      <c r="E8" s="6">
        <v>5</v>
      </c>
      <c r="F8" s="6"/>
      <c r="G8" s="4"/>
      <c r="H8" s="4"/>
      <c r="I8" s="4"/>
      <c r="K8" s="3">
        <v>2010</v>
      </c>
      <c r="L8" s="3" t="s">
        <v>37</v>
      </c>
      <c r="M8" s="4" t="s">
        <v>49</v>
      </c>
      <c r="N8" s="3">
        <f t="shared" ref="N8:N25" si="0">O8+(O8/SUM($O$7:$O$25))*$N$2</f>
        <v>13.14518702357738</v>
      </c>
      <c r="O8" s="3">
        <f>D18</f>
        <v>13</v>
      </c>
    </row>
    <row r="9" spans="1:15">
      <c r="A9" s="3">
        <v>2010</v>
      </c>
      <c r="B9" s="4" t="s">
        <v>47</v>
      </c>
      <c r="C9" s="6">
        <v>2012</v>
      </c>
      <c r="D9" s="6">
        <v>29</v>
      </c>
      <c r="E9" s="6">
        <v>1</v>
      </c>
      <c r="F9" s="6"/>
      <c r="G9" s="4"/>
      <c r="H9" s="4"/>
      <c r="I9" s="4"/>
      <c r="K9" s="3">
        <v>2010</v>
      </c>
      <c r="L9" s="3" t="s">
        <v>37</v>
      </c>
      <c r="M9" s="4" t="s">
        <v>50</v>
      </c>
      <c r="N9" s="3">
        <f t="shared" si="0"/>
        <v>6.0670093954972524</v>
      </c>
      <c r="O9" s="3">
        <f>D19</f>
        <v>6</v>
      </c>
    </row>
    <row r="10" spans="1:15">
      <c r="A10" s="3">
        <v>2010</v>
      </c>
      <c r="B10" s="4" t="s">
        <v>47</v>
      </c>
      <c r="C10" s="6">
        <v>2013</v>
      </c>
      <c r="D10" s="6">
        <v>18</v>
      </c>
      <c r="E10" s="6">
        <v>1</v>
      </c>
      <c r="F10" s="4"/>
      <c r="G10" s="4"/>
      <c r="H10" s="4"/>
      <c r="I10" s="4"/>
      <c r="K10" s="3">
        <v>2010</v>
      </c>
      <c r="L10" s="3" t="s">
        <v>37</v>
      </c>
      <c r="M10" s="4" t="s">
        <v>51</v>
      </c>
      <c r="N10" s="3">
        <f t="shared" si="0"/>
        <v>37.413224605566391</v>
      </c>
      <c r="O10" s="3">
        <f>SUM(D20:D22)</f>
        <v>37</v>
      </c>
    </row>
    <row r="11" spans="1:15">
      <c r="A11" s="3">
        <v>2010</v>
      </c>
      <c r="B11" s="4" t="s">
        <v>47</v>
      </c>
      <c r="C11" s="6">
        <v>2014</v>
      </c>
      <c r="D11" s="6">
        <v>3</v>
      </c>
      <c r="E11" s="4" t="s">
        <v>42</v>
      </c>
      <c r="F11" s="4"/>
      <c r="G11" s="4"/>
      <c r="H11" s="4"/>
      <c r="I11" s="4"/>
      <c r="K11" s="3">
        <v>2010</v>
      </c>
      <c r="L11" s="3" t="s">
        <v>37</v>
      </c>
      <c r="M11" s="4" t="s">
        <v>52</v>
      </c>
      <c r="N11" s="3">
        <f t="shared" si="0"/>
        <v>542.99734089700405</v>
      </c>
      <c r="O11" s="3">
        <f>SUM(D23:D29)</f>
        <v>537</v>
      </c>
    </row>
    <row r="12" spans="1:15">
      <c r="A12" s="3">
        <v>2010</v>
      </c>
      <c r="B12" s="4" t="s">
        <v>47</v>
      </c>
      <c r="C12" s="6">
        <v>2015</v>
      </c>
      <c r="D12" s="6">
        <v>7</v>
      </c>
      <c r="E12" s="6">
        <v>1</v>
      </c>
      <c r="F12" s="4"/>
      <c r="G12" s="4"/>
      <c r="H12" s="4"/>
      <c r="I12" s="4"/>
      <c r="K12" s="3">
        <v>2010</v>
      </c>
      <c r="L12" s="3" t="s">
        <v>37</v>
      </c>
      <c r="M12" s="4" t="s">
        <v>53</v>
      </c>
      <c r="N12" s="3">
        <f t="shared" si="0"/>
        <v>970.72150327956035</v>
      </c>
      <c r="O12" s="3">
        <f>SUM(D30:D34)</f>
        <v>960</v>
      </c>
    </row>
    <row r="13" spans="1:15">
      <c r="A13" s="3">
        <v>2010</v>
      </c>
      <c r="B13" s="4" t="s">
        <v>47</v>
      </c>
      <c r="C13" s="6">
        <v>2016</v>
      </c>
      <c r="D13" s="6">
        <v>1</v>
      </c>
      <c r="E13" s="6">
        <v>1</v>
      </c>
      <c r="F13" s="4"/>
      <c r="G13" s="4"/>
      <c r="H13" s="4"/>
      <c r="I13" s="4"/>
      <c r="K13" s="3">
        <v>2010</v>
      </c>
      <c r="L13" s="3" t="s">
        <v>37</v>
      </c>
      <c r="M13" s="4" t="s">
        <v>54</v>
      </c>
      <c r="N13" s="3">
        <f t="shared" si="0"/>
        <v>1049.5926254210246</v>
      </c>
      <c r="O13" s="8">
        <f>SUM(D35:D41)</f>
        <v>1038</v>
      </c>
    </row>
    <row r="14" spans="1:15">
      <c r="A14" s="3">
        <v>2010</v>
      </c>
      <c r="B14" s="4" t="s">
        <v>47</v>
      </c>
      <c r="C14" s="6">
        <v>2022</v>
      </c>
      <c r="D14" s="6">
        <v>2</v>
      </c>
      <c r="E14" s="6">
        <v>1</v>
      </c>
      <c r="F14" s="4"/>
      <c r="G14" s="4"/>
      <c r="H14" s="4"/>
      <c r="I14" s="4"/>
      <c r="K14" s="3">
        <v>2010</v>
      </c>
      <c r="L14" s="3" t="s">
        <v>37</v>
      </c>
      <c r="M14" s="4" t="s">
        <v>55</v>
      </c>
      <c r="N14" s="3">
        <f t="shared" si="0"/>
        <v>1062.737812444602</v>
      </c>
      <c r="O14" s="8">
        <f>SUM(D42:D43)</f>
        <v>1051</v>
      </c>
    </row>
    <row r="15" spans="1:15">
      <c r="A15" s="3">
        <v>2010</v>
      </c>
      <c r="B15" s="4" t="s">
        <v>47</v>
      </c>
      <c r="C15" s="6">
        <v>2024</v>
      </c>
      <c r="D15" s="6">
        <v>1</v>
      </c>
      <c r="E15" s="6">
        <v>1</v>
      </c>
      <c r="F15" s="4"/>
      <c r="G15" s="4"/>
      <c r="H15" s="4"/>
      <c r="I15" s="4"/>
      <c r="K15" s="3">
        <v>2010</v>
      </c>
      <c r="L15" s="3" t="s">
        <v>37</v>
      </c>
      <c r="M15" s="4" t="s">
        <v>56</v>
      </c>
      <c r="N15" s="3">
        <f t="shared" si="0"/>
        <v>790.73355787980859</v>
      </c>
      <c r="O15" s="3">
        <f>SUM(D44:D47)</f>
        <v>782</v>
      </c>
    </row>
    <row r="16" spans="1:15">
      <c r="A16" s="3">
        <v>2010</v>
      </c>
      <c r="B16" s="4" t="s">
        <v>48</v>
      </c>
      <c r="C16" s="6">
        <v>2010</v>
      </c>
      <c r="D16" s="6">
        <v>2</v>
      </c>
      <c r="E16" s="6">
        <v>2</v>
      </c>
      <c r="F16" s="4"/>
      <c r="G16" s="4"/>
      <c r="H16" s="4"/>
      <c r="I16" s="4"/>
      <c r="K16" s="3">
        <v>2010</v>
      </c>
      <c r="L16" s="3" t="s">
        <v>37</v>
      </c>
      <c r="M16" s="4" t="s">
        <v>57</v>
      </c>
      <c r="N16" s="3">
        <f t="shared" si="0"/>
        <v>495.47243396560896</v>
      </c>
      <c r="O16" s="3">
        <f>SUM(D48:D53)</f>
        <v>490</v>
      </c>
    </row>
    <row r="17" spans="1:15">
      <c r="A17" s="3">
        <v>2010</v>
      </c>
      <c r="B17" s="4" t="s">
        <v>48</v>
      </c>
      <c r="C17" s="6">
        <v>2012</v>
      </c>
      <c r="D17" s="6">
        <v>1</v>
      </c>
      <c r="E17" s="4" t="s">
        <v>42</v>
      </c>
      <c r="F17" s="4"/>
      <c r="G17" s="4"/>
      <c r="H17" s="4"/>
      <c r="I17" s="4"/>
      <c r="K17" s="3">
        <v>2010</v>
      </c>
      <c r="L17" s="3" t="s">
        <v>37</v>
      </c>
      <c r="M17" s="4" t="s">
        <v>58</v>
      </c>
      <c r="N17" s="3">
        <f t="shared" si="0"/>
        <v>309.41747917035985</v>
      </c>
      <c r="O17" s="3">
        <f>SUM(D54:D57)</f>
        <v>306</v>
      </c>
    </row>
    <row r="18" spans="1:15">
      <c r="A18" s="3">
        <v>2010</v>
      </c>
      <c r="B18" s="4" t="s">
        <v>49</v>
      </c>
      <c r="C18" s="6">
        <v>2010</v>
      </c>
      <c r="D18" s="6">
        <v>13</v>
      </c>
      <c r="E18" s="6">
        <v>5</v>
      </c>
      <c r="F18" s="4"/>
      <c r="G18" s="4"/>
      <c r="H18" s="4"/>
      <c r="I18" s="4"/>
      <c r="K18" s="3">
        <v>2010</v>
      </c>
      <c r="L18" s="3" t="s">
        <v>37</v>
      </c>
      <c r="M18" s="4" t="s">
        <v>59</v>
      </c>
      <c r="N18" s="3">
        <f t="shared" si="0"/>
        <v>178.97677716716893</v>
      </c>
      <c r="O18" s="3">
        <f>SUM(D58:D60)</f>
        <v>177</v>
      </c>
    </row>
    <row r="19" spans="1:15">
      <c r="A19" s="3">
        <v>2010</v>
      </c>
      <c r="B19" s="4" t="s">
        <v>50</v>
      </c>
      <c r="C19" s="6">
        <v>2010</v>
      </c>
      <c r="D19" s="6">
        <v>6</v>
      </c>
      <c r="E19" s="6">
        <v>6</v>
      </c>
      <c r="F19" s="4"/>
      <c r="G19" s="4"/>
      <c r="H19" s="4"/>
      <c r="I19" s="4"/>
      <c r="K19" s="3">
        <v>2010</v>
      </c>
      <c r="L19" s="3" t="s">
        <v>37</v>
      </c>
      <c r="M19" s="4" t="s">
        <v>60</v>
      </c>
      <c r="N19" s="3">
        <f t="shared" si="0"/>
        <v>91.005140932458787</v>
      </c>
      <c r="O19" s="3">
        <f>SUM(D61:D62)</f>
        <v>90</v>
      </c>
    </row>
    <row r="20" spans="1:15">
      <c r="A20" s="3">
        <v>2010</v>
      </c>
      <c r="B20" s="4" t="s">
        <v>51</v>
      </c>
      <c r="C20" s="6">
        <v>2010</v>
      </c>
      <c r="D20" s="6">
        <v>35</v>
      </c>
      <c r="E20" s="6">
        <v>16</v>
      </c>
      <c r="F20" s="6"/>
      <c r="G20" s="4"/>
      <c r="H20" s="4"/>
      <c r="I20" s="4"/>
      <c r="K20" s="3">
        <v>2010</v>
      </c>
      <c r="L20" s="3" t="s">
        <v>37</v>
      </c>
      <c r="M20" s="4" t="s">
        <v>61</v>
      </c>
      <c r="N20" s="3">
        <f t="shared" si="0"/>
        <v>49.547243396560894</v>
      </c>
      <c r="O20" s="3">
        <f>SUM(D63:D65)</f>
        <v>49</v>
      </c>
    </row>
    <row r="21" spans="1:15">
      <c r="A21" s="3">
        <v>2010</v>
      </c>
      <c r="B21" s="4" t="s">
        <v>51</v>
      </c>
      <c r="C21" s="6">
        <v>2011</v>
      </c>
      <c r="D21" s="6">
        <v>1</v>
      </c>
      <c r="E21" s="4" t="s">
        <v>42</v>
      </c>
      <c r="F21" s="4"/>
      <c r="G21" s="4"/>
      <c r="H21" s="4"/>
      <c r="I21" s="4"/>
      <c r="K21" s="3">
        <v>2010</v>
      </c>
      <c r="L21" s="3" t="s">
        <v>37</v>
      </c>
      <c r="M21" s="4" t="s">
        <v>62</v>
      </c>
      <c r="N21" s="3">
        <f t="shared" si="0"/>
        <v>44.491402233646518</v>
      </c>
      <c r="O21" s="3">
        <f>D66</f>
        <v>44</v>
      </c>
    </row>
    <row r="22" spans="1:15">
      <c r="A22" s="3">
        <v>2010</v>
      </c>
      <c r="B22" s="4" t="s">
        <v>51</v>
      </c>
      <c r="C22" s="6">
        <v>2012</v>
      </c>
      <c r="D22" s="6">
        <v>1</v>
      </c>
      <c r="E22" s="4" t="s">
        <v>42</v>
      </c>
      <c r="F22" s="4"/>
      <c r="G22" s="4"/>
      <c r="H22" s="4"/>
      <c r="I22" s="4"/>
      <c r="K22" s="3">
        <v>2010</v>
      </c>
      <c r="L22" s="3" t="s">
        <v>37</v>
      </c>
      <c r="M22" s="4" t="s">
        <v>63</v>
      </c>
      <c r="N22" s="3">
        <f t="shared" si="0"/>
        <v>26.29037404715476</v>
      </c>
      <c r="O22" s="3">
        <f>SUM(D67:D68)</f>
        <v>26</v>
      </c>
    </row>
    <row r="23" spans="1:15">
      <c r="A23" s="3">
        <v>2010</v>
      </c>
      <c r="B23" s="4" t="s">
        <v>52</v>
      </c>
      <c r="C23" s="6">
        <v>2010</v>
      </c>
      <c r="D23" s="6">
        <v>527</v>
      </c>
      <c r="E23" s="6">
        <v>64</v>
      </c>
      <c r="F23" s="6"/>
      <c r="G23" s="4"/>
      <c r="H23" s="4"/>
      <c r="I23" s="4"/>
      <c r="K23" s="3">
        <v>2010</v>
      </c>
      <c r="L23" s="3" t="s">
        <v>37</v>
      </c>
      <c r="M23" s="4" t="s">
        <v>64</v>
      </c>
      <c r="N23" s="3">
        <f t="shared" si="0"/>
        <v>12.134018790994505</v>
      </c>
      <c r="O23" s="3">
        <f>SUM(D69)</f>
        <v>12</v>
      </c>
    </row>
    <row r="24" spans="1:15">
      <c r="A24" s="3">
        <v>2010</v>
      </c>
      <c r="B24" s="4" t="s">
        <v>52</v>
      </c>
      <c r="C24" s="6">
        <v>2011</v>
      </c>
      <c r="D24" s="6">
        <v>6</v>
      </c>
      <c r="E24" s="6">
        <v>2</v>
      </c>
      <c r="F24" s="4"/>
      <c r="G24" s="4"/>
      <c r="H24" s="4"/>
      <c r="I24" s="4"/>
      <c r="K24" s="3">
        <v>2010</v>
      </c>
      <c r="L24" s="3" t="s">
        <v>37</v>
      </c>
      <c r="M24" s="4" t="s">
        <v>65</v>
      </c>
      <c r="N24" s="3">
        <f t="shared" si="0"/>
        <v>4.0446729303315019</v>
      </c>
      <c r="O24" s="3">
        <f>D70</f>
        <v>4</v>
      </c>
    </row>
    <row r="25" spans="1:15">
      <c r="A25" s="3">
        <v>2010</v>
      </c>
      <c r="B25" s="4" t="s">
        <v>52</v>
      </c>
      <c r="C25" s="6">
        <v>2012</v>
      </c>
      <c r="D25" s="6">
        <v>1</v>
      </c>
      <c r="E25" s="6">
        <v>1</v>
      </c>
      <c r="F25" s="4"/>
      <c r="G25" s="4"/>
      <c r="H25" s="4"/>
      <c r="I25" s="4"/>
      <c r="K25" s="3">
        <v>2010</v>
      </c>
      <c r="L25" s="3" t="s">
        <v>37</v>
      </c>
      <c r="M25" s="4" t="s">
        <v>66</v>
      </c>
      <c r="N25" s="3">
        <f t="shared" si="0"/>
        <v>16.178691721326008</v>
      </c>
      <c r="O25" s="3">
        <f>SUM(D71:D72)</f>
        <v>16</v>
      </c>
    </row>
    <row r="26" spans="1:15">
      <c r="A26" s="3">
        <v>2010</v>
      </c>
      <c r="B26" s="4" t="s">
        <v>52</v>
      </c>
      <c r="C26" s="6">
        <v>2013</v>
      </c>
      <c r="D26" s="6">
        <v>1</v>
      </c>
      <c r="E26" s="4" t="s">
        <v>42</v>
      </c>
      <c r="F26" s="4"/>
      <c r="G26" s="4"/>
      <c r="H26" s="4"/>
      <c r="I26" s="4"/>
      <c r="K26" s="3">
        <v>2019</v>
      </c>
      <c r="L26" s="3" t="s">
        <v>37</v>
      </c>
      <c r="M26" s="4" t="s">
        <v>48</v>
      </c>
      <c r="N26" s="3">
        <f>O26+(O26/SUM($O$26:$O$44))*$N$3</f>
        <v>0</v>
      </c>
      <c r="O26" s="3">
        <v>0</v>
      </c>
    </row>
    <row r="27" spans="1:15">
      <c r="A27" s="3">
        <v>2010</v>
      </c>
      <c r="B27" s="4" t="s">
        <v>52</v>
      </c>
      <c r="C27" s="6">
        <v>2015</v>
      </c>
      <c r="D27" s="6">
        <v>1</v>
      </c>
      <c r="E27" s="4" t="s">
        <v>42</v>
      </c>
      <c r="F27" s="4"/>
      <c r="G27" s="4"/>
      <c r="H27" s="4"/>
      <c r="I27" s="4"/>
      <c r="K27" s="3">
        <v>2019</v>
      </c>
      <c r="L27" s="3" t="s">
        <v>37</v>
      </c>
      <c r="M27" s="4" t="s">
        <v>49</v>
      </c>
      <c r="N27" s="3">
        <f t="shared" ref="N27:N44" si="1">O27+(O27/SUM($O$26:$O$44))*$N$3</f>
        <v>2.0019665683382497</v>
      </c>
      <c r="O27" s="3">
        <f>SUM(D84)</f>
        <v>2</v>
      </c>
    </row>
    <row r="28" spans="1:15">
      <c r="A28" s="3">
        <v>2010</v>
      </c>
      <c r="B28" s="4" t="s">
        <v>52</v>
      </c>
      <c r="C28" s="6">
        <v>2016</v>
      </c>
      <c r="D28" s="6">
        <v>1</v>
      </c>
      <c r="E28" s="6">
        <v>1</v>
      </c>
      <c r="F28" s="4"/>
      <c r="G28" s="4"/>
      <c r="H28" s="4"/>
      <c r="I28" s="4"/>
      <c r="K28" s="3">
        <v>2019</v>
      </c>
      <c r="L28" s="3" t="s">
        <v>37</v>
      </c>
      <c r="M28" s="4" t="s">
        <v>50</v>
      </c>
      <c r="N28" s="3">
        <f t="shared" si="1"/>
        <v>2.0019665683382497</v>
      </c>
      <c r="O28" s="3">
        <f>SUM(D85)</f>
        <v>2</v>
      </c>
    </row>
    <row r="29" spans="1:15">
      <c r="A29" s="3">
        <v>2010</v>
      </c>
      <c r="B29" s="4" t="s">
        <v>52</v>
      </c>
      <c r="C29" s="6">
        <v>2022</v>
      </c>
      <c r="D29" s="4" t="s">
        <v>42</v>
      </c>
      <c r="E29" s="6">
        <v>1</v>
      </c>
      <c r="F29" s="4"/>
      <c r="G29" s="4"/>
      <c r="H29" s="4"/>
      <c r="I29" s="4"/>
      <c r="K29" s="3">
        <v>2019</v>
      </c>
      <c r="L29" s="3" t="s">
        <v>37</v>
      </c>
      <c r="M29" s="4" t="s">
        <v>51</v>
      </c>
      <c r="N29" s="3">
        <f t="shared" si="1"/>
        <v>6.0058997050147491</v>
      </c>
      <c r="O29" s="3">
        <f>SUM(D86)</f>
        <v>6</v>
      </c>
    </row>
    <row r="30" spans="1:15">
      <c r="A30" s="3">
        <v>2010</v>
      </c>
      <c r="B30" s="4" t="s">
        <v>53</v>
      </c>
      <c r="C30" s="6">
        <v>2010</v>
      </c>
      <c r="D30" s="6">
        <v>934</v>
      </c>
      <c r="E30" s="6">
        <v>96</v>
      </c>
      <c r="F30" s="4"/>
      <c r="G30" s="4"/>
      <c r="H30" s="4"/>
      <c r="I30" s="4"/>
      <c r="K30" s="3">
        <v>2019</v>
      </c>
      <c r="L30" s="3" t="s">
        <v>37</v>
      </c>
      <c r="M30" s="4" t="s">
        <v>52</v>
      </c>
      <c r="N30" s="3">
        <f t="shared" si="1"/>
        <v>168.16519174041298</v>
      </c>
      <c r="O30" s="3">
        <f>SUM(D87:D89)</f>
        <v>168</v>
      </c>
    </row>
    <row r="31" spans="1:15">
      <c r="A31" s="3">
        <v>2010</v>
      </c>
      <c r="B31" s="4" t="s">
        <v>53</v>
      </c>
      <c r="C31" s="6">
        <v>2011</v>
      </c>
      <c r="D31" s="6">
        <v>19</v>
      </c>
      <c r="E31" s="4" t="s">
        <v>42</v>
      </c>
      <c r="F31" s="4"/>
      <c r="G31" s="4"/>
      <c r="H31" s="4"/>
      <c r="I31" s="4"/>
      <c r="K31" s="3">
        <v>2019</v>
      </c>
      <c r="L31" s="3" t="s">
        <v>37</v>
      </c>
      <c r="M31" s="4" t="s">
        <v>53</v>
      </c>
      <c r="N31" s="3">
        <f t="shared" si="1"/>
        <v>368.36184857423797</v>
      </c>
      <c r="O31" s="3">
        <f>SUM(D90:D93)</f>
        <v>368</v>
      </c>
    </row>
    <row r="32" spans="1:15">
      <c r="A32" s="3">
        <v>2010</v>
      </c>
      <c r="B32" s="4" t="s">
        <v>53</v>
      </c>
      <c r="C32" s="6">
        <v>2012</v>
      </c>
      <c r="D32" s="6">
        <v>4</v>
      </c>
      <c r="E32" s="4" t="s">
        <v>42</v>
      </c>
      <c r="F32" s="4"/>
      <c r="G32" s="4"/>
      <c r="H32" s="4"/>
      <c r="I32" s="4"/>
      <c r="K32" s="3">
        <v>2019</v>
      </c>
      <c r="L32" s="3" t="s">
        <v>37</v>
      </c>
      <c r="M32" s="4" t="s">
        <v>54</v>
      </c>
      <c r="N32" s="3">
        <f t="shared" si="1"/>
        <v>341.33529990167159</v>
      </c>
      <c r="O32" s="3">
        <f>SUM(D94:D97)</f>
        <v>341</v>
      </c>
    </row>
    <row r="33" spans="1:15">
      <c r="A33" s="3">
        <v>2010</v>
      </c>
      <c r="B33" s="4" t="s">
        <v>53</v>
      </c>
      <c r="C33" s="6">
        <v>2014</v>
      </c>
      <c r="D33" s="6">
        <v>1</v>
      </c>
      <c r="E33" s="4" t="s">
        <v>42</v>
      </c>
      <c r="F33" s="4"/>
      <c r="G33" s="4"/>
      <c r="H33" s="4"/>
      <c r="I33" s="4"/>
      <c r="K33" s="3">
        <v>2019</v>
      </c>
      <c r="L33" s="3" t="s">
        <v>37</v>
      </c>
      <c r="M33" s="4" t="s">
        <v>55</v>
      </c>
      <c r="N33" s="3">
        <f t="shared" si="1"/>
        <v>314.30875122910521</v>
      </c>
      <c r="O33" s="3">
        <f>SUM(D98:D101)</f>
        <v>314</v>
      </c>
    </row>
    <row r="34" spans="1:15">
      <c r="A34" s="3">
        <v>2010</v>
      </c>
      <c r="B34" s="4" t="s">
        <v>53</v>
      </c>
      <c r="C34" s="6">
        <v>2015</v>
      </c>
      <c r="D34" s="6">
        <v>2</v>
      </c>
      <c r="E34" s="4" t="s">
        <v>42</v>
      </c>
      <c r="F34" s="4"/>
      <c r="G34" s="4"/>
      <c r="H34" s="4"/>
      <c r="I34" s="4"/>
      <c r="K34" s="3">
        <v>2019</v>
      </c>
      <c r="L34" s="3" t="s">
        <v>37</v>
      </c>
      <c r="M34" s="4" t="s">
        <v>56</v>
      </c>
      <c r="N34" s="3">
        <f t="shared" si="1"/>
        <v>255.25073746312685</v>
      </c>
      <c r="O34" s="3">
        <f>SUM(D102:D105)</f>
        <v>255</v>
      </c>
    </row>
    <row r="35" spans="1:15">
      <c r="A35" s="3">
        <v>2010</v>
      </c>
      <c r="B35" s="4" t="s">
        <v>54</v>
      </c>
      <c r="C35" s="6">
        <v>2010</v>
      </c>
      <c r="D35" s="7">
        <v>1009</v>
      </c>
      <c r="E35" s="6">
        <v>97</v>
      </c>
      <c r="F35" s="6"/>
      <c r="G35" s="4"/>
      <c r="H35" s="4"/>
      <c r="I35" s="4"/>
      <c r="K35" s="3">
        <v>2019</v>
      </c>
      <c r="L35" s="3" t="s">
        <v>37</v>
      </c>
      <c r="M35" s="4" t="s">
        <v>57</v>
      </c>
      <c r="N35" s="3">
        <f t="shared" si="1"/>
        <v>228.22418879056048</v>
      </c>
      <c r="O35" s="3">
        <f>SUM(D106:D109)</f>
        <v>228</v>
      </c>
    </row>
    <row r="36" spans="1:15">
      <c r="A36" s="3">
        <v>2010</v>
      </c>
      <c r="B36" s="4" t="s">
        <v>54</v>
      </c>
      <c r="C36" s="6">
        <v>2011</v>
      </c>
      <c r="D36" s="6">
        <v>23</v>
      </c>
      <c r="E36" s="6">
        <v>2</v>
      </c>
      <c r="F36" s="4"/>
      <c r="G36" s="4"/>
      <c r="H36" s="4"/>
      <c r="I36" s="4"/>
      <c r="K36" s="3">
        <v>2019</v>
      </c>
      <c r="L36" s="3" t="s">
        <v>37</v>
      </c>
      <c r="M36" s="4" t="s">
        <v>58</v>
      </c>
      <c r="N36" s="3">
        <f t="shared" si="1"/>
        <v>148.14552605703048</v>
      </c>
      <c r="O36" s="3">
        <f>SUM(D110:D111)</f>
        <v>148</v>
      </c>
    </row>
    <row r="37" spans="1:15">
      <c r="A37" s="3">
        <v>2010</v>
      </c>
      <c r="B37" s="4" t="s">
        <v>54</v>
      </c>
      <c r="C37" s="6">
        <v>2012</v>
      </c>
      <c r="D37" s="6">
        <v>1</v>
      </c>
      <c r="E37" s="4" t="s">
        <v>42</v>
      </c>
      <c r="F37" s="4"/>
      <c r="G37" s="4"/>
      <c r="H37" s="4"/>
      <c r="I37" s="4"/>
      <c r="K37" s="3">
        <v>2019</v>
      </c>
      <c r="L37" s="3" t="s">
        <v>37</v>
      </c>
      <c r="M37" s="4" t="s">
        <v>59</v>
      </c>
      <c r="N37" s="3">
        <f t="shared" si="1"/>
        <v>96.094395280235986</v>
      </c>
      <c r="O37" s="3">
        <f>D112</f>
        <v>96</v>
      </c>
    </row>
    <row r="38" spans="1:15">
      <c r="A38" s="3">
        <v>2010</v>
      </c>
      <c r="B38" s="4" t="s">
        <v>54</v>
      </c>
      <c r="C38" s="6">
        <v>2013</v>
      </c>
      <c r="D38" s="6">
        <v>2</v>
      </c>
      <c r="E38" s="6">
        <v>1</v>
      </c>
      <c r="F38" s="4"/>
      <c r="G38" s="4"/>
      <c r="H38" s="4"/>
      <c r="I38" s="4"/>
      <c r="K38" s="3">
        <v>2019</v>
      </c>
      <c r="L38" s="3" t="s">
        <v>37</v>
      </c>
      <c r="M38" s="4" t="s">
        <v>60</v>
      </c>
      <c r="N38" s="3">
        <f t="shared" si="1"/>
        <v>44.043264503441492</v>
      </c>
      <c r="O38" s="3">
        <f>SUM(D113:D114)</f>
        <v>44</v>
      </c>
    </row>
    <row r="39" spans="1:15">
      <c r="A39" s="3">
        <v>2010</v>
      </c>
      <c r="B39" s="4" t="s">
        <v>54</v>
      </c>
      <c r="C39" s="6">
        <v>2014</v>
      </c>
      <c r="D39" s="6">
        <v>1</v>
      </c>
      <c r="E39" s="4" t="s">
        <v>42</v>
      </c>
      <c r="F39" s="4"/>
      <c r="G39" s="4"/>
      <c r="H39" s="4"/>
      <c r="I39" s="4"/>
      <c r="K39" s="3">
        <v>2019</v>
      </c>
      <c r="L39" s="3" t="s">
        <v>37</v>
      </c>
      <c r="M39" s="4" t="s">
        <v>61</v>
      </c>
      <c r="N39" s="3">
        <f t="shared" si="1"/>
        <v>29.028515240904621</v>
      </c>
      <c r="O39" s="3">
        <f>D115</f>
        <v>29</v>
      </c>
    </row>
    <row r="40" spans="1:15">
      <c r="A40" s="3">
        <v>2010</v>
      </c>
      <c r="B40" s="4" t="s">
        <v>54</v>
      </c>
      <c r="C40" s="6">
        <v>2022</v>
      </c>
      <c r="D40" s="6">
        <v>1</v>
      </c>
      <c r="E40" s="4" t="s">
        <v>42</v>
      </c>
      <c r="F40" s="4"/>
      <c r="G40" s="4"/>
      <c r="H40" s="4"/>
      <c r="I40" s="4"/>
      <c r="K40" s="3">
        <v>2019</v>
      </c>
      <c r="L40" s="3" t="s">
        <v>37</v>
      </c>
      <c r="M40" s="4" t="s">
        <v>62</v>
      </c>
      <c r="N40" s="3">
        <f t="shared" si="1"/>
        <v>16.015732546705998</v>
      </c>
      <c r="O40" s="3">
        <f>SUM(D116:D117)</f>
        <v>16</v>
      </c>
    </row>
    <row r="41" spans="1:15">
      <c r="A41" s="3">
        <v>2010</v>
      </c>
      <c r="B41" s="4" t="s">
        <v>54</v>
      </c>
      <c r="C41" s="6">
        <v>2024</v>
      </c>
      <c r="D41" s="6">
        <v>1</v>
      </c>
      <c r="E41" s="6">
        <v>1</v>
      </c>
      <c r="F41" s="4"/>
      <c r="G41" s="4"/>
      <c r="H41" s="4"/>
      <c r="I41" s="4"/>
      <c r="K41" s="3">
        <v>2019</v>
      </c>
      <c r="L41" s="3" t="s">
        <v>37</v>
      </c>
      <c r="M41" s="4" t="s">
        <v>63</v>
      </c>
      <c r="N41" s="3">
        <f t="shared" si="1"/>
        <v>8.0078662733529988</v>
      </c>
      <c r="O41" s="3">
        <f>D118</f>
        <v>8</v>
      </c>
    </row>
    <row r="42" spans="1:15">
      <c r="A42" s="3">
        <v>2010</v>
      </c>
      <c r="B42" s="4" t="s">
        <v>55</v>
      </c>
      <c r="C42" s="6">
        <v>2010</v>
      </c>
      <c r="D42" s="7">
        <v>1036</v>
      </c>
      <c r="E42" s="6">
        <v>92</v>
      </c>
      <c r="F42" s="6"/>
      <c r="G42" s="4"/>
      <c r="H42" s="4"/>
      <c r="I42" s="4"/>
      <c r="K42" s="3">
        <v>2019</v>
      </c>
      <c r="L42" s="3" t="s">
        <v>37</v>
      </c>
      <c r="M42" s="4" t="s">
        <v>64</v>
      </c>
      <c r="N42" s="3">
        <f t="shared" si="1"/>
        <v>6.0058997050147491</v>
      </c>
      <c r="O42" s="3">
        <f>D119</f>
        <v>6</v>
      </c>
    </row>
    <row r="43" spans="1:15">
      <c r="A43" s="3">
        <v>2010</v>
      </c>
      <c r="B43" s="4" t="s">
        <v>55</v>
      </c>
      <c r="C43" s="6">
        <v>2011</v>
      </c>
      <c r="D43" s="6">
        <v>15</v>
      </c>
      <c r="E43" s="6">
        <v>1</v>
      </c>
      <c r="F43" s="4"/>
      <c r="G43" s="4"/>
      <c r="H43" s="4"/>
      <c r="I43" s="4"/>
      <c r="K43" s="3">
        <v>2019</v>
      </c>
      <c r="L43" s="3" t="s">
        <v>37</v>
      </c>
      <c r="M43" s="4" t="s">
        <v>65</v>
      </c>
      <c r="N43" s="3">
        <f t="shared" si="1"/>
        <v>2.0019665683382497</v>
      </c>
      <c r="O43" s="3">
        <f>D120</f>
        <v>2</v>
      </c>
    </row>
    <row r="44" spans="1:15">
      <c r="A44" s="3">
        <v>2010</v>
      </c>
      <c r="B44" s="4" t="s">
        <v>56</v>
      </c>
      <c r="C44" s="6">
        <v>2010</v>
      </c>
      <c r="D44" s="6">
        <v>766</v>
      </c>
      <c r="E44" s="6">
        <v>51</v>
      </c>
      <c r="F44" s="6"/>
      <c r="G44" s="4"/>
      <c r="H44" s="4"/>
      <c r="I44" s="4"/>
      <c r="K44" s="3">
        <v>2019</v>
      </c>
      <c r="L44" s="3" t="s">
        <v>37</v>
      </c>
      <c r="M44" s="4" t="s">
        <v>66</v>
      </c>
      <c r="N44" s="3">
        <f t="shared" si="1"/>
        <v>1.0009832841691249</v>
      </c>
      <c r="O44" s="3">
        <f>D121</f>
        <v>1</v>
      </c>
    </row>
    <row r="45" spans="1:15">
      <c r="A45" s="3">
        <v>2010</v>
      </c>
      <c r="B45" s="4" t="s">
        <v>56</v>
      </c>
      <c r="C45" s="6">
        <v>2011</v>
      </c>
      <c r="D45" s="6">
        <v>13</v>
      </c>
      <c r="E45" s="4" t="s">
        <v>42</v>
      </c>
      <c r="F45" s="4"/>
      <c r="G45" s="4"/>
      <c r="H45" s="4"/>
      <c r="I45" s="4"/>
      <c r="K45" s="3">
        <v>2021</v>
      </c>
      <c r="L45" s="3" t="s">
        <v>37</v>
      </c>
      <c r="M45" s="4" t="s">
        <v>48</v>
      </c>
      <c r="N45" s="3">
        <f>O45+(O45/SUM($O$45:$O$63))*$N$4</f>
        <v>1.0551917680074836</v>
      </c>
      <c r="O45" s="3">
        <f>SUM(D127)</f>
        <v>1</v>
      </c>
    </row>
    <row r="46" spans="1:15">
      <c r="A46" s="3">
        <v>2010</v>
      </c>
      <c r="B46" s="4" t="s">
        <v>56</v>
      </c>
      <c r="C46" s="6">
        <v>2012</v>
      </c>
      <c r="D46" s="6">
        <v>2</v>
      </c>
      <c r="E46" s="4" t="s">
        <v>42</v>
      </c>
      <c r="F46" s="4"/>
      <c r="G46" s="4"/>
      <c r="H46" s="4"/>
      <c r="I46" s="4"/>
      <c r="K46" s="3">
        <v>2021</v>
      </c>
      <c r="L46" s="3" t="s">
        <v>37</v>
      </c>
      <c r="M46" s="4" t="s">
        <v>49</v>
      </c>
      <c r="N46" s="3">
        <f t="shared" ref="N46:N63" si="2">O46+(O46/SUM($O$45:$O$63))*$N$4</f>
        <v>2.1103835360149672</v>
      </c>
      <c r="O46" s="3">
        <f>D128</f>
        <v>2</v>
      </c>
    </row>
    <row r="47" spans="1:15">
      <c r="A47" s="3">
        <v>2010</v>
      </c>
      <c r="B47" s="4" t="s">
        <v>56</v>
      </c>
      <c r="C47" s="6">
        <v>2013</v>
      </c>
      <c r="D47" s="6">
        <v>1</v>
      </c>
      <c r="E47" s="4" t="s">
        <v>42</v>
      </c>
      <c r="F47" s="4"/>
      <c r="G47" s="4"/>
      <c r="H47" s="4"/>
      <c r="I47" s="4"/>
      <c r="K47" s="3">
        <v>2021</v>
      </c>
      <c r="L47" s="3" t="s">
        <v>37</v>
      </c>
      <c r="M47" s="4" t="s">
        <v>50</v>
      </c>
      <c r="N47" s="3">
        <f t="shared" si="2"/>
        <v>3.1655753040224508</v>
      </c>
      <c r="O47" s="3">
        <f t="shared" ref="O47:O48" si="3">D129</f>
        <v>3</v>
      </c>
    </row>
    <row r="48" spans="1:15">
      <c r="A48" s="3">
        <v>2010</v>
      </c>
      <c r="B48" s="4" t="s">
        <v>57</v>
      </c>
      <c r="C48" s="6">
        <v>2010</v>
      </c>
      <c r="D48" s="6">
        <v>475</v>
      </c>
      <c r="E48" s="6">
        <v>46</v>
      </c>
      <c r="F48" s="6"/>
      <c r="G48" s="4"/>
      <c r="H48" s="4"/>
      <c r="I48" s="4"/>
      <c r="K48" s="3">
        <v>2021</v>
      </c>
      <c r="L48" s="3" t="s">
        <v>37</v>
      </c>
      <c r="M48" s="4" t="s">
        <v>51</v>
      </c>
      <c r="N48" s="3">
        <f t="shared" si="2"/>
        <v>8.4415341440598688</v>
      </c>
      <c r="O48" s="3">
        <f t="shared" si="3"/>
        <v>8</v>
      </c>
    </row>
    <row r="49" spans="1:15">
      <c r="A49" s="3">
        <v>2010</v>
      </c>
      <c r="B49" s="4" t="s">
        <v>57</v>
      </c>
      <c r="C49" s="6">
        <v>2011</v>
      </c>
      <c r="D49" s="6">
        <v>11</v>
      </c>
      <c r="E49" s="4" t="s">
        <v>42</v>
      </c>
      <c r="F49" s="4"/>
      <c r="G49" s="4"/>
      <c r="H49" s="4"/>
      <c r="I49" s="4"/>
      <c r="K49" s="3">
        <v>2021</v>
      </c>
      <c r="L49" s="3" t="s">
        <v>37</v>
      </c>
      <c r="M49" s="4" t="s">
        <v>52</v>
      </c>
      <c r="N49" s="3">
        <f t="shared" si="2"/>
        <v>163.55472404115997</v>
      </c>
      <c r="O49" s="3">
        <f>SUM(D131:D132)</f>
        <v>155</v>
      </c>
    </row>
    <row r="50" spans="1:15">
      <c r="A50" s="3">
        <v>2010</v>
      </c>
      <c r="B50" s="4" t="s">
        <v>57</v>
      </c>
      <c r="C50" s="6">
        <v>2012</v>
      </c>
      <c r="D50" s="6">
        <v>1</v>
      </c>
      <c r="E50" s="4" t="s">
        <v>42</v>
      </c>
      <c r="F50" s="4"/>
      <c r="G50" s="4"/>
      <c r="H50" s="4"/>
      <c r="I50" s="4"/>
      <c r="K50" s="3">
        <v>2021</v>
      </c>
      <c r="L50" s="3" t="s">
        <v>37</v>
      </c>
      <c r="M50" s="4" t="s">
        <v>53</v>
      </c>
      <c r="N50" s="3">
        <f t="shared" si="2"/>
        <v>339.77174929840976</v>
      </c>
      <c r="O50" s="3">
        <f>SUM(D133:D135)</f>
        <v>322</v>
      </c>
    </row>
    <row r="51" spans="1:15">
      <c r="A51" s="3">
        <v>2010</v>
      </c>
      <c r="B51" s="4" t="s">
        <v>57</v>
      </c>
      <c r="C51" s="6">
        <v>2013</v>
      </c>
      <c r="D51" s="6">
        <v>1</v>
      </c>
      <c r="E51" s="4" t="s">
        <v>42</v>
      </c>
      <c r="F51" s="4"/>
      <c r="G51" s="4"/>
      <c r="H51" s="4"/>
      <c r="I51" s="4"/>
      <c r="K51" s="3">
        <v>2021</v>
      </c>
      <c r="L51" s="3" t="s">
        <v>37</v>
      </c>
      <c r="M51" s="4" t="s">
        <v>54</v>
      </c>
      <c r="N51" s="3">
        <f t="shared" si="2"/>
        <v>377.75865294667915</v>
      </c>
      <c r="O51" s="3">
        <f>SUM(D136:D138)</f>
        <v>358</v>
      </c>
    </row>
    <row r="52" spans="1:15">
      <c r="A52" s="3">
        <v>2010</v>
      </c>
      <c r="B52" s="4" t="s">
        <v>57</v>
      </c>
      <c r="C52" s="6">
        <v>2014</v>
      </c>
      <c r="D52" s="6">
        <v>1</v>
      </c>
      <c r="E52" s="4" t="s">
        <v>42</v>
      </c>
      <c r="F52" s="4"/>
      <c r="G52" s="4"/>
      <c r="H52" s="4"/>
      <c r="I52" s="4"/>
      <c r="K52" s="3">
        <v>2021</v>
      </c>
      <c r="L52" s="3" t="s">
        <v>37</v>
      </c>
      <c r="M52" s="4" t="s">
        <v>55</v>
      </c>
      <c r="N52" s="3">
        <f t="shared" si="2"/>
        <v>361.93077642656687</v>
      </c>
      <c r="O52" s="3">
        <f>SUM(D139:D140)</f>
        <v>343</v>
      </c>
    </row>
    <row r="53" spans="1:15">
      <c r="A53" s="3">
        <v>2010</v>
      </c>
      <c r="B53" s="4" t="s">
        <v>57</v>
      </c>
      <c r="C53" s="6">
        <v>2015</v>
      </c>
      <c r="D53" s="6">
        <v>1</v>
      </c>
      <c r="E53" s="4" t="s">
        <v>42</v>
      </c>
      <c r="F53" s="4"/>
      <c r="G53" s="4"/>
      <c r="H53" s="4"/>
      <c r="I53" s="4"/>
      <c r="K53" s="3">
        <v>2021</v>
      </c>
      <c r="L53" s="3" t="s">
        <v>37</v>
      </c>
      <c r="M53" s="4" t="s">
        <v>56</v>
      </c>
      <c r="N53" s="3">
        <f t="shared" si="2"/>
        <v>306.00561272217027</v>
      </c>
      <c r="O53" s="3">
        <f>SUM(D141:D143)</f>
        <v>290</v>
      </c>
    </row>
    <row r="54" spans="1:15">
      <c r="A54" s="3">
        <v>2010</v>
      </c>
      <c r="B54" s="4" t="s">
        <v>58</v>
      </c>
      <c r="C54" s="6">
        <v>2010</v>
      </c>
      <c r="D54" s="6">
        <v>296</v>
      </c>
      <c r="E54" s="6">
        <v>35</v>
      </c>
      <c r="F54" s="4"/>
      <c r="G54" s="4"/>
      <c r="H54" s="4"/>
      <c r="I54" s="4"/>
      <c r="K54" s="3">
        <v>2021</v>
      </c>
      <c r="L54" s="3" t="s">
        <v>37</v>
      </c>
      <c r="M54" s="4" t="s">
        <v>57</v>
      </c>
      <c r="N54" s="3">
        <f t="shared" si="2"/>
        <v>258.52198316183348</v>
      </c>
      <c r="O54" s="3">
        <f>SUM(D144:D146)</f>
        <v>245</v>
      </c>
    </row>
    <row r="55" spans="1:15">
      <c r="A55" s="3">
        <v>2010</v>
      </c>
      <c r="B55" s="4" t="s">
        <v>58</v>
      </c>
      <c r="C55" s="6">
        <v>2011</v>
      </c>
      <c r="D55" s="6">
        <v>8</v>
      </c>
      <c r="E55" s="4" t="s">
        <v>42</v>
      </c>
      <c r="F55" s="6"/>
      <c r="G55" s="4"/>
      <c r="H55" s="4"/>
      <c r="I55" s="4"/>
      <c r="K55" s="3">
        <v>2021</v>
      </c>
      <c r="L55" s="3" t="s">
        <v>37</v>
      </c>
      <c r="M55" s="4" t="s">
        <v>58</v>
      </c>
      <c r="N55" s="3">
        <f t="shared" si="2"/>
        <v>180.43779232927969</v>
      </c>
      <c r="O55" s="3">
        <f>SUM(D147:D148)</f>
        <v>171</v>
      </c>
    </row>
    <row r="56" spans="1:15">
      <c r="A56" s="3">
        <v>2010</v>
      </c>
      <c r="B56" s="4" t="s">
        <v>58</v>
      </c>
      <c r="C56" s="6">
        <v>2012</v>
      </c>
      <c r="D56" s="6">
        <v>1</v>
      </c>
      <c r="E56" s="4" t="s">
        <v>42</v>
      </c>
      <c r="F56" s="4"/>
      <c r="G56" s="4"/>
      <c r="H56" s="4"/>
      <c r="I56" s="4"/>
      <c r="K56" s="3">
        <v>2021</v>
      </c>
      <c r="L56" s="3" t="s">
        <v>37</v>
      </c>
      <c r="M56" s="4" t="s">
        <v>59</v>
      </c>
      <c r="N56" s="3">
        <f t="shared" si="2"/>
        <v>108.68475210477081</v>
      </c>
      <c r="O56" s="3">
        <f>D149</f>
        <v>103</v>
      </c>
    </row>
    <row r="57" spans="1:15">
      <c r="A57" s="3">
        <v>2010</v>
      </c>
      <c r="B57" s="4" t="s">
        <v>58</v>
      </c>
      <c r="C57" s="6">
        <v>2022</v>
      </c>
      <c r="D57" s="6">
        <v>1</v>
      </c>
      <c r="E57" s="4" t="s">
        <v>42</v>
      </c>
      <c r="F57" s="4"/>
      <c r="G57" s="4"/>
      <c r="H57" s="4"/>
      <c r="I57" s="4"/>
      <c r="K57" s="3">
        <v>2021</v>
      </c>
      <c r="L57" s="3" t="s">
        <v>37</v>
      </c>
      <c r="M57" s="4" t="s">
        <v>60</v>
      </c>
      <c r="N57" s="3">
        <f t="shared" si="2"/>
        <v>64.366697848456496</v>
      </c>
      <c r="O57" s="3">
        <f t="shared" ref="O57:O63" si="4">D150</f>
        <v>61</v>
      </c>
    </row>
    <row r="58" spans="1:15">
      <c r="A58" s="3">
        <v>2010</v>
      </c>
      <c r="B58" s="4" t="s">
        <v>59</v>
      </c>
      <c r="C58" s="6">
        <v>2010</v>
      </c>
      <c r="D58" s="6">
        <v>170</v>
      </c>
      <c r="E58" s="6">
        <v>20</v>
      </c>
      <c r="F58" s="4"/>
      <c r="G58" s="4"/>
      <c r="H58" s="4"/>
      <c r="I58" s="4"/>
      <c r="K58" s="3">
        <v>2021</v>
      </c>
      <c r="L58" s="3" t="s">
        <v>37</v>
      </c>
      <c r="M58" s="4" t="s">
        <v>61</v>
      </c>
      <c r="N58" s="3">
        <f t="shared" si="2"/>
        <v>32.710944808231993</v>
      </c>
      <c r="O58" s="3">
        <f t="shared" si="4"/>
        <v>31</v>
      </c>
    </row>
    <row r="59" spans="1:15">
      <c r="A59" s="3">
        <v>2010</v>
      </c>
      <c r="B59" s="4" t="s">
        <v>59</v>
      </c>
      <c r="C59" s="6">
        <v>2011</v>
      </c>
      <c r="D59" s="6">
        <v>6</v>
      </c>
      <c r="E59" s="4" t="s">
        <v>42</v>
      </c>
      <c r="F59" s="4"/>
      <c r="G59" s="4"/>
      <c r="H59" s="4"/>
      <c r="I59" s="4"/>
      <c r="K59" s="3">
        <v>2021</v>
      </c>
      <c r="L59" s="3" t="s">
        <v>37</v>
      </c>
      <c r="M59" s="4" t="s">
        <v>62</v>
      </c>
      <c r="N59" s="3">
        <f t="shared" si="2"/>
        <v>22.159027128157156</v>
      </c>
      <c r="O59" s="3">
        <f t="shared" si="4"/>
        <v>21</v>
      </c>
    </row>
    <row r="60" spans="1:15">
      <c r="A60" s="3">
        <v>2010</v>
      </c>
      <c r="B60" s="4" t="s">
        <v>59</v>
      </c>
      <c r="C60" s="6">
        <v>2012</v>
      </c>
      <c r="D60" s="6">
        <v>1</v>
      </c>
      <c r="E60" s="4" t="s">
        <v>42</v>
      </c>
      <c r="F60" s="4"/>
      <c r="G60" s="4"/>
      <c r="H60" s="4"/>
      <c r="I60" s="4"/>
      <c r="K60" s="3">
        <v>2021</v>
      </c>
      <c r="L60" s="3" t="s">
        <v>37</v>
      </c>
      <c r="M60" s="4" t="s">
        <v>63</v>
      </c>
      <c r="N60" s="3">
        <f t="shared" si="2"/>
        <v>16.883068288119738</v>
      </c>
      <c r="O60" s="3">
        <f t="shared" si="4"/>
        <v>16</v>
      </c>
    </row>
    <row r="61" spans="1:15">
      <c r="A61" s="3">
        <v>2010</v>
      </c>
      <c r="B61" s="4" t="s">
        <v>60</v>
      </c>
      <c r="C61" s="6">
        <v>2010</v>
      </c>
      <c r="D61" s="6">
        <v>89</v>
      </c>
      <c r="E61" s="6">
        <v>9</v>
      </c>
      <c r="F61" s="4"/>
      <c r="G61" s="4"/>
      <c r="H61" s="4"/>
      <c r="I61" s="4"/>
      <c r="K61" s="3">
        <v>2021</v>
      </c>
      <c r="L61" s="3" t="s">
        <v>37</v>
      </c>
      <c r="M61" s="4" t="s">
        <v>64</v>
      </c>
      <c r="N61" s="3">
        <f t="shared" si="2"/>
        <v>6.3311506080449016</v>
      </c>
      <c r="O61" s="3">
        <f t="shared" si="4"/>
        <v>6</v>
      </c>
    </row>
    <row r="62" spans="1:15">
      <c r="A62" s="3">
        <v>2010</v>
      </c>
      <c r="B62" s="4" t="s">
        <v>60</v>
      </c>
      <c r="C62" s="6">
        <v>2011</v>
      </c>
      <c r="D62" s="6">
        <v>1</v>
      </c>
      <c r="E62" s="4" t="s">
        <v>42</v>
      </c>
      <c r="F62" s="4"/>
      <c r="G62" s="4"/>
      <c r="H62" s="4"/>
      <c r="I62" s="4"/>
      <c r="K62" s="3">
        <v>2021</v>
      </c>
      <c r="L62" s="3" t="s">
        <v>37</v>
      </c>
      <c r="M62" s="4" t="s">
        <v>65</v>
      </c>
      <c r="N62" s="3">
        <f t="shared" si="2"/>
        <v>1.0551917680074836</v>
      </c>
      <c r="O62" s="3">
        <f t="shared" si="4"/>
        <v>1</v>
      </c>
    </row>
    <row r="63" spans="1:15">
      <c r="A63" s="3">
        <v>2010</v>
      </c>
      <c r="B63" s="4" t="s">
        <v>61</v>
      </c>
      <c r="C63" s="6">
        <v>2010</v>
      </c>
      <c r="D63" s="6">
        <v>46</v>
      </c>
      <c r="E63" s="6">
        <v>7</v>
      </c>
      <c r="F63" s="4"/>
      <c r="G63" s="4"/>
      <c r="H63" s="4"/>
      <c r="I63" s="4"/>
      <c r="K63" s="3">
        <v>2021</v>
      </c>
      <c r="L63" s="3" t="s">
        <v>37</v>
      </c>
      <c r="M63" s="4" t="s">
        <v>66</v>
      </c>
      <c r="N63" s="3">
        <f t="shared" si="2"/>
        <v>1.0551917680074836</v>
      </c>
      <c r="O63" s="3">
        <f t="shared" si="4"/>
        <v>1</v>
      </c>
    </row>
    <row r="64" spans="1:15">
      <c r="A64" s="3">
        <v>2010</v>
      </c>
      <c r="B64" s="4" t="s">
        <v>61</v>
      </c>
      <c r="C64" s="6">
        <v>2011</v>
      </c>
      <c r="D64" s="6">
        <v>2</v>
      </c>
      <c r="E64" s="4" t="s">
        <v>42</v>
      </c>
      <c r="F64" s="4"/>
      <c r="G64" s="4"/>
      <c r="H64" s="4"/>
      <c r="I64" s="4"/>
      <c r="K64" s="3">
        <v>2010</v>
      </c>
      <c r="L64" s="3" t="s">
        <v>38</v>
      </c>
      <c r="M64" s="4" t="s">
        <v>48</v>
      </c>
      <c r="N64" s="3">
        <f>O64+(O64/SUM($O$64:$O$82))*$O$2</f>
        <v>2.0070298769771528</v>
      </c>
      <c r="O64" s="3">
        <f>SUM(E16:E17)</f>
        <v>2</v>
      </c>
    </row>
    <row r="65" spans="1:15">
      <c r="A65" s="3">
        <v>2010</v>
      </c>
      <c r="B65" s="4" t="s">
        <v>61</v>
      </c>
      <c r="C65" s="6">
        <v>2012</v>
      </c>
      <c r="D65" s="6">
        <v>1</v>
      </c>
      <c r="E65" s="4" t="s">
        <v>42</v>
      </c>
      <c r="F65" s="4"/>
      <c r="G65" s="4"/>
      <c r="H65" s="4"/>
      <c r="I65" s="4"/>
      <c r="K65" s="3">
        <v>2010</v>
      </c>
      <c r="L65" s="3" t="s">
        <v>38</v>
      </c>
      <c r="M65" s="4" t="s">
        <v>49</v>
      </c>
      <c r="N65" s="3">
        <f t="shared" ref="N65:N82" si="5">O65+(O65/SUM($O$64:$O$82))*$O$2</f>
        <v>5.0175746924428823</v>
      </c>
      <c r="O65" s="3">
        <f>E18</f>
        <v>5</v>
      </c>
    </row>
    <row r="66" spans="1:15">
      <c r="A66" s="3">
        <v>2010</v>
      </c>
      <c r="B66" s="4" t="s">
        <v>62</v>
      </c>
      <c r="C66" s="6">
        <v>2010</v>
      </c>
      <c r="D66" s="6">
        <v>44</v>
      </c>
      <c r="E66" s="6">
        <v>7</v>
      </c>
      <c r="F66" s="4"/>
      <c r="G66" s="4"/>
      <c r="H66" s="4"/>
      <c r="I66" s="4"/>
      <c r="K66" s="3">
        <v>2010</v>
      </c>
      <c r="L66" s="3" t="s">
        <v>38</v>
      </c>
      <c r="M66" s="4" t="s">
        <v>50</v>
      </c>
      <c r="N66" s="3">
        <f t="shared" si="5"/>
        <v>6.021089630931459</v>
      </c>
      <c r="O66" s="3">
        <f>E19</f>
        <v>6</v>
      </c>
    </row>
    <row r="67" spans="1:15">
      <c r="A67" s="3">
        <v>2010</v>
      </c>
      <c r="B67" s="4" t="s">
        <v>63</v>
      </c>
      <c r="C67" s="6">
        <v>2010</v>
      </c>
      <c r="D67" s="6">
        <v>25</v>
      </c>
      <c r="E67" s="6">
        <v>3</v>
      </c>
      <c r="F67" s="4"/>
      <c r="G67" s="4"/>
      <c r="H67" s="4"/>
      <c r="I67" s="4"/>
      <c r="K67" s="3">
        <v>2010</v>
      </c>
      <c r="L67" s="3" t="s">
        <v>38</v>
      </c>
      <c r="M67" s="4" t="s">
        <v>51</v>
      </c>
      <c r="N67" s="3">
        <f t="shared" si="5"/>
        <v>16.056239015817223</v>
      </c>
      <c r="O67" s="3">
        <f>SUM(E20:E22)</f>
        <v>16</v>
      </c>
    </row>
    <row r="68" spans="1:15">
      <c r="A68" s="3">
        <v>2010</v>
      </c>
      <c r="B68" s="4" t="s">
        <v>63</v>
      </c>
      <c r="C68" s="6">
        <v>2011</v>
      </c>
      <c r="D68" s="6">
        <v>1</v>
      </c>
      <c r="E68" s="4" t="s">
        <v>42</v>
      </c>
      <c r="F68" s="4"/>
      <c r="G68" s="4"/>
      <c r="H68" s="4"/>
      <c r="I68" s="4"/>
      <c r="K68" s="3">
        <v>2010</v>
      </c>
      <c r="L68" s="3" t="s">
        <v>38</v>
      </c>
      <c r="M68" s="4" t="s">
        <v>52</v>
      </c>
      <c r="N68" s="3">
        <f t="shared" si="5"/>
        <v>69.242530755711769</v>
      </c>
      <c r="O68" s="3">
        <f>SUM(E23:E29)</f>
        <v>69</v>
      </c>
    </row>
    <row r="69" spans="1:15">
      <c r="A69" s="3">
        <v>2010</v>
      </c>
      <c r="B69" s="4" t="s">
        <v>64</v>
      </c>
      <c r="C69" s="6">
        <v>2010</v>
      </c>
      <c r="D69" s="6">
        <v>12</v>
      </c>
      <c r="E69" s="6">
        <v>2</v>
      </c>
      <c r="F69" s="4"/>
      <c r="G69" s="4"/>
      <c r="H69" s="4"/>
      <c r="I69" s="4"/>
      <c r="K69" s="3">
        <v>2010</v>
      </c>
      <c r="L69" s="3" t="s">
        <v>38</v>
      </c>
      <c r="M69" s="4" t="s">
        <v>53</v>
      </c>
      <c r="N69" s="3">
        <f t="shared" si="5"/>
        <v>96.337434094903344</v>
      </c>
      <c r="O69" s="3">
        <f>SUM(E30:E34)</f>
        <v>96</v>
      </c>
    </row>
    <row r="70" spans="1:15">
      <c r="A70" s="3">
        <v>2010</v>
      </c>
      <c r="B70" s="4" t="s">
        <v>65</v>
      </c>
      <c r="C70" s="6">
        <v>2010</v>
      </c>
      <c r="D70" s="6">
        <v>4</v>
      </c>
      <c r="E70" s="6">
        <v>1</v>
      </c>
      <c r="F70" s="4"/>
      <c r="G70" s="4"/>
      <c r="H70" s="4"/>
      <c r="I70" s="4"/>
      <c r="K70" s="3">
        <v>2010</v>
      </c>
      <c r="L70" s="3" t="s">
        <v>38</v>
      </c>
      <c r="M70" s="4" t="s">
        <v>54</v>
      </c>
      <c r="N70" s="3">
        <f t="shared" si="5"/>
        <v>101.35500878734622</v>
      </c>
      <c r="O70" s="8">
        <f>SUM(E35:E41)</f>
        <v>101</v>
      </c>
    </row>
    <row r="71" spans="1:15">
      <c r="A71" s="3">
        <v>2010</v>
      </c>
      <c r="B71" s="4" t="s">
        <v>66</v>
      </c>
      <c r="C71" s="6">
        <v>2010</v>
      </c>
      <c r="D71" s="6">
        <v>2</v>
      </c>
      <c r="E71" s="4" t="s">
        <v>42</v>
      </c>
      <c r="F71" s="4"/>
      <c r="G71" s="4"/>
      <c r="H71" s="4"/>
      <c r="I71" s="4"/>
      <c r="K71" s="3">
        <v>2010</v>
      </c>
      <c r="L71" s="3" t="s">
        <v>38</v>
      </c>
      <c r="M71" s="4" t="s">
        <v>55</v>
      </c>
      <c r="N71" s="3">
        <f t="shared" si="5"/>
        <v>93.326889279437609</v>
      </c>
      <c r="O71" s="8">
        <f>SUM(E42:E43)</f>
        <v>93</v>
      </c>
    </row>
    <row r="72" spans="1:15">
      <c r="A72" s="3">
        <v>2010</v>
      </c>
      <c r="B72" s="4" t="s">
        <v>66</v>
      </c>
      <c r="C72" s="6">
        <v>2011</v>
      </c>
      <c r="D72" s="6">
        <v>14</v>
      </c>
      <c r="E72" s="4" t="s">
        <v>42</v>
      </c>
      <c r="F72" s="4"/>
      <c r="G72" s="4"/>
      <c r="H72" s="4"/>
      <c r="I72" s="4"/>
      <c r="K72" s="3">
        <v>2010</v>
      </c>
      <c r="L72" s="3" t="s">
        <v>38</v>
      </c>
      <c r="M72" s="4" t="s">
        <v>56</v>
      </c>
      <c r="N72" s="3">
        <f t="shared" si="5"/>
        <v>51.1792618629174</v>
      </c>
      <c r="O72" s="3">
        <f>SUM(E44:E47)</f>
        <v>51</v>
      </c>
    </row>
    <row r="73" spans="1:15">
      <c r="A73" s="3">
        <v>2010</v>
      </c>
      <c r="B73" s="4" t="s">
        <v>41</v>
      </c>
      <c r="C73" s="6">
        <v>2010</v>
      </c>
      <c r="D73" s="6">
        <v>29</v>
      </c>
      <c r="E73" s="6">
        <v>1</v>
      </c>
      <c r="F73" s="6"/>
      <c r="G73" s="4"/>
      <c r="H73" s="4"/>
      <c r="I73" s="4"/>
      <c r="K73" s="3">
        <v>2010</v>
      </c>
      <c r="L73" s="3" t="s">
        <v>38</v>
      </c>
      <c r="M73" s="4" t="s">
        <v>57</v>
      </c>
      <c r="N73" s="3">
        <f t="shared" si="5"/>
        <v>46.161687170474515</v>
      </c>
      <c r="O73" s="3">
        <f>SUM(E48:E53)</f>
        <v>46</v>
      </c>
    </row>
    <row r="74" spans="1:15">
      <c r="A74" s="3">
        <v>2010</v>
      </c>
      <c r="B74" s="4" t="s">
        <v>41</v>
      </c>
      <c r="C74" s="6">
        <v>2011</v>
      </c>
      <c r="D74" s="6">
        <v>3</v>
      </c>
      <c r="E74" s="4" t="s">
        <v>42</v>
      </c>
      <c r="F74" s="4"/>
      <c r="G74" s="4"/>
      <c r="H74" s="4"/>
      <c r="I74" s="4"/>
      <c r="K74" s="3">
        <v>2010</v>
      </c>
      <c r="L74" s="3" t="s">
        <v>38</v>
      </c>
      <c r="M74" s="4" t="s">
        <v>58</v>
      </c>
      <c r="N74" s="3">
        <f t="shared" si="5"/>
        <v>35.123022847100174</v>
      </c>
      <c r="O74" s="3">
        <f>SUM(E54:E57)</f>
        <v>35</v>
      </c>
    </row>
    <row r="75" spans="1:15">
      <c r="A75" s="3">
        <v>2010</v>
      </c>
      <c r="B75" s="4" t="s">
        <v>41</v>
      </c>
      <c r="C75" s="6">
        <v>2012</v>
      </c>
      <c r="D75" s="6">
        <v>15</v>
      </c>
      <c r="E75" s="4" t="s">
        <v>42</v>
      </c>
      <c r="F75" s="6"/>
      <c r="G75" s="4"/>
      <c r="H75" s="4"/>
      <c r="I75" s="4"/>
      <c r="K75" s="3">
        <v>2010</v>
      </c>
      <c r="L75" s="3" t="s">
        <v>38</v>
      </c>
      <c r="M75" s="4" t="s">
        <v>59</v>
      </c>
      <c r="N75" s="3">
        <f t="shared" si="5"/>
        <v>20.070298769771529</v>
      </c>
      <c r="O75" s="3">
        <f>SUM(E58:E60)</f>
        <v>20</v>
      </c>
    </row>
    <row r="76" spans="1:15">
      <c r="A76" s="3">
        <v>2010</v>
      </c>
      <c r="B76" s="4" t="s">
        <v>41</v>
      </c>
      <c r="C76" s="6">
        <v>2013</v>
      </c>
      <c r="D76" s="6">
        <v>13</v>
      </c>
      <c r="E76" s="4" t="s">
        <v>42</v>
      </c>
      <c r="F76" s="4"/>
      <c r="G76" s="4"/>
      <c r="H76" s="4"/>
      <c r="I76" s="4"/>
      <c r="K76" s="3">
        <v>2010</v>
      </c>
      <c r="L76" s="3" t="s">
        <v>38</v>
      </c>
      <c r="M76" s="4" t="s">
        <v>60</v>
      </c>
      <c r="N76" s="3">
        <f t="shared" si="5"/>
        <v>9.031634446397188</v>
      </c>
      <c r="O76" s="3">
        <f>SUM(E61:E62)</f>
        <v>9</v>
      </c>
    </row>
    <row r="77" spans="1:15">
      <c r="A77" s="3">
        <v>2010</v>
      </c>
      <c r="B77" s="4" t="s">
        <v>41</v>
      </c>
      <c r="C77" s="6">
        <v>2015</v>
      </c>
      <c r="D77" s="6">
        <v>3</v>
      </c>
      <c r="E77" s="6">
        <v>1</v>
      </c>
      <c r="F77" s="4"/>
      <c r="G77" s="4"/>
      <c r="H77" s="4"/>
      <c r="I77" s="4"/>
      <c r="K77" s="3">
        <v>2010</v>
      </c>
      <c r="L77" s="3" t="s">
        <v>38</v>
      </c>
      <c r="M77" s="4" t="s">
        <v>61</v>
      </c>
      <c r="N77" s="3">
        <f t="shared" si="5"/>
        <v>7.0246045694200347</v>
      </c>
      <c r="O77" s="3">
        <f>SUM(E63:E65)</f>
        <v>7</v>
      </c>
    </row>
    <row r="78" spans="1:15">
      <c r="A78" s="3">
        <v>2019</v>
      </c>
      <c r="B78" s="4" t="s">
        <v>47</v>
      </c>
      <c r="C78" s="6">
        <v>2019</v>
      </c>
      <c r="D78" s="7">
        <v>2004</v>
      </c>
      <c r="E78" s="6">
        <v>254</v>
      </c>
      <c r="F78" s="4"/>
      <c r="G78" s="4"/>
      <c r="H78" s="4"/>
      <c r="I78" s="4"/>
      <c r="K78" s="3">
        <v>2010</v>
      </c>
      <c r="L78" s="3" t="s">
        <v>38</v>
      </c>
      <c r="M78" s="4" t="s">
        <v>62</v>
      </c>
      <c r="N78" s="3">
        <f t="shared" si="5"/>
        <v>7.0246045694200347</v>
      </c>
      <c r="O78" s="3">
        <f>E66</f>
        <v>7</v>
      </c>
    </row>
    <row r="79" spans="1:15">
      <c r="A79" s="3">
        <v>2019</v>
      </c>
      <c r="B79" s="4" t="s">
        <v>47</v>
      </c>
      <c r="C79" s="6">
        <v>2020</v>
      </c>
      <c r="D79" s="6">
        <v>18</v>
      </c>
      <c r="E79" s="6">
        <v>1</v>
      </c>
      <c r="F79" s="4"/>
      <c r="G79" s="4"/>
      <c r="H79" s="4"/>
      <c r="I79" s="4"/>
      <c r="K79" s="3">
        <v>2010</v>
      </c>
      <c r="L79" s="3" t="s">
        <v>38</v>
      </c>
      <c r="M79" s="4" t="s">
        <v>63</v>
      </c>
      <c r="N79" s="3">
        <f t="shared" si="5"/>
        <v>3.0105448154657295</v>
      </c>
      <c r="O79" s="3">
        <f>SUM(E67:E68)</f>
        <v>3</v>
      </c>
    </row>
    <row r="80" spans="1:15">
      <c r="A80" s="3">
        <v>2019</v>
      </c>
      <c r="B80" s="4" t="s">
        <v>47</v>
      </c>
      <c r="C80" s="6">
        <v>2021</v>
      </c>
      <c r="D80" s="6">
        <v>8</v>
      </c>
      <c r="E80" s="6">
        <v>2</v>
      </c>
      <c r="F80" s="4"/>
      <c r="G80" s="4"/>
      <c r="H80" s="4"/>
      <c r="I80" s="4"/>
      <c r="K80" s="3">
        <v>2010</v>
      </c>
      <c r="L80" s="3" t="s">
        <v>38</v>
      </c>
      <c r="M80" s="4" t="s">
        <v>64</v>
      </c>
      <c r="N80" s="3">
        <f t="shared" si="5"/>
        <v>2.0070298769771528</v>
      </c>
      <c r="O80" s="3">
        <f>SUM(E69)</f>
        <v>2</v>
      </c>
    </row>
    <row r="81" spans="1:15">
      <c r="A81" s="3">
        <v>2019</v>
      </c>
      <c r="B81" s="4" t="s">
        <v>47</v>
      </c>
      <c r="C81" s="6">
        <v>2022</v>
      </c>
      <c r="D81" s="6">
        <v>1</v>
      </c>
      <c r="E81" s="4" t="s">
        <v>42</v>
      </c>
      <c r="F81" s="4"/>
      <c r="G81" s="4"/>
      <c r="H81" s="4"/>
      <c r="I81" s="4"/>
      <c r="K81" s="3">
        <v>2010</v>
      </c>
      <c r="L81" s="3" t="s">
        <v>38</v>
      </c>
      <c r="M81" s="4" t="s">
        <v>65</v>
      </c>
      <c r="N81" s="3">
        <f t="shared" si="5"/>
        <v>1.0035149384885764</v>
      </c>
      <c r="O81" s="3">
        <f>E70</f>
        <v>1</v>
      </c>
    </row>
    <row r="82" spans="1:15">
      <c r="A82" s="3">
        <v>2019</v>
      </c>
      <c r="B82" s="4" t="s">
        <v>47</v>
      </c>
      <c r="C82" s="6">
        <v>2023</v>
      </c>
      <c r="D82" s="6">
        <v>4</v>
      </c>
      <c r="E82" s="4" t="s">
        <v>42</v>
      </c>
      <c r="F82" s="4"/>
      <c r="G82" s="4"/>
      <c r="H82" s="4"/>
      <c r="I82" s="4"/>
      <c r="K82" s="3">
        <v>2010</v>
      </c>
      <c r="L82" s="3" t="s">
        <v>38</v>
      </c>
      <c r="M82" s="4" t="s">
        <v>66</v>
      </c>
      <c r="N82" s="3">
        <f t="shared" si="5"/>
        <v>0</v>
      </c>
      <c r="O82" s="3">
        <f>SUM(E71:E72)</f>
        <v>0</v>
      </c>
    </row>
    <row r="83" spans="1:15">
      <c r="A83" s="3">
        <v>2019</v>
      </c>
      <c r="B83" s="4" t="s">
        <v>47</v>
      </c>
      <c r="C83" s="6">
        <v>2024</v>
      </c>
      <c r="D83" s="6">
        <v>1</v>
      </c>
      <c r="E83" s="4" t="s">
        <v>42</v>
      </c>
      <c r="F83" s="4"/>
      <c r="G83" s="4"/>
      <c r="H83" s="4"/>
      <c r="I83" s="4"/>
      <c r="K83" s="3">
        <v>2019</v>
      </c>
      <c r="L83" s="3" t="s">
        <v>38</v>
      </c>
      <c r="M83" s="4" t="s">
        <v>48</v>
      </c>
      <c r="N83" s="3">
        <f>O83+(O83/SUM($O$83:$O$101))*$O$3</f>
        <v>1</v>
      </c>
      <c r="O83" s="3">
        <v>1</v>
      </c>
    </row>
    <row r="84" spans="1:15">
      <c r="A84" s="3">
        <v>2019</v>
      </c>
      <c r="B84" s="4" t="s">
        <v>49</v>
      </c>
      <c r="C84" s="6">
        <v>2019</v>
      </c>
      <c r="D84" s="6">
        <v>2</v>
      </c>
      <c r="E84" s="6">
        <v>4</v>
      </c>
      <c r="F84" s="4"/>
      <c r="G84" s="4"/>
      <c r="H84" s="4"/>
      <c r="I84" s="4"/>
      <c r="K84" s="3">
        <v>2019</v>
      </c>
      <c r="L84" s="3" t="s">
        <v>38</v>
      </c>
      <c r="M84" s="4" t="s">
        <v>49</v>
      </c>
      <c r="N84" s="3">
        <f t="shared" ref="N84:N101" si="6">O84+(O84/SUM($O$83:$O$101))*$O$3</f>
        <v>4</v>
      </c>
      <c r="O84" s="3">
        <f>SUM(E84)</f>
        <v>4</v>
      </c>
    </row>
    <row r="85" spans="1:15">
      <c r="A85" s="3">
        <v>2019</v>
      </c>
      <c r="B85" s="4" t="s">
        <v>50</v>
      </c>
      <c r="C85" s="6">
        <v>2019</v>
      </c>
      <c r="D85" s="6">
        <v>2</v>
      </c>
      <c r="E85" s="6">
        <v>2</v>
      </c>
      <c r="F85" s="4"/>
      <c r="G85" s="4"/>
      <c r="H85" s="4"/>
      <c r="I85" s="4"/>
      <c r="K85" s="3">
        <v>2019</v>
      </c>
      <c r="L85" s="3" t="s">
        <v>38</v>
      </c>
      <c r="M85" s="4" t="s">
        <v>50</v>
      </c>
      <c r="N85" s="3">
        <f t="shared" si="6"/>
        <v>2</v>
      </c>
      <c r="O85" s="3">
        <f>SUM(E85)</f>
        <v>2</v>
      </c>
    </row>
    <row r="86" spans="1:15">
      <c r="A86" s="3">
        <v>2019</v>
      </c>
      <c r="B86" s="4" t="s">
        <v>51</v>
      </c>
      <c r="C86" s="6">
        <v>2019</v>
      </c>
      <c r="D86" s="6">
        <v>6</v>
      </c>
      <c r="E86" s="6">
        <v>6</v>
      </c>
      <c r="F86" s="4"/>
      <c r="G86" s="4"/>
      <c r="H86" s="4"/>
      <c r="I86" s="4"/>
      <c r="K86" s="3">
        <v>2019</v>
      </c>
      <c r="L86" s="3" t="s">
        <v>38</v>
      </c>
      <c r="M86" s="4" t="s">
        <v>51</v>
      </c>
      <c r="N86" s="3">
        <f t="shared" si="6"/>
        <v>6</v>
      </c>
      <c r="O86" s="3">
        <f>SUM(E86)</f>
        <v>6</v>
      </c>
    </row>
    <row r="87" spans="1:15">
      <c r="A87" s="3">
        <v>2019</v>
      </c>
      <c r="B87" s="4" t="s">
        <v>52</v>
      </c>
      <c r="C87" s="6">
        <v>2019</v>
      </c>
      <c r="D87" s="6">
        <v>165</v>
      </c>
      <c r="E87" s="6">
        <v>39</v>
      </c>
      <c r="F87" s="4"/>
      <c r="G87" s="4"/>
      <c r="H87" s="4"/>
      <c r="I87" s="4"/>
      <c r="K87" s="3">
        <v>2019</v>
      </c>
      <c r="L87" s="3" t="s">
        <v>38</v>
      </c>
      <c r="M87" s="4" t="s">
        <v>52</v>
      </c>
      <c r="N87" s="3">
        <f t="shared" si="6"/>
        <v>39</v>
      </c>
      <c r="O87" s="3">
        <f>SUM(E87:E89)</f>
        <v>39</v>
      </c>
    </row>
    <row r="88" spans="1:15">
      <c r="A88" s="3">
        <v>2019</v>
      </c>
      <c r="B88" s="4" t="s">
        <v>52</v>
      </c>
      <c r="C88" s="6">
        <v>2020</v>
      </c>
      <c r="D88" s="6">
        <v>1</v>
      </c>
      <c r="E88" s="4" t="s">
        <v>42</v>
      </c>
      <c r="F88" s="4"/>
      <c r="G88" s="4"/>
      <c r="H88" s="4"/>
      <c r="I88" s="4"/>
      <c r="K88" s="3">
        <v>2019</v>
      </c>
      <c r="L88" s="3" t="s">
        <v>38</v>
      </c>
      <c r="M88" s="4" t="s">
        <v>53</v>
      </c>
      <c r="N88" s="3">
        <f t="shared" si="6"/>
        <v>66</v>
      </c>
      <c r="O88" s="3">
        <f>SUM(E90:E93)</f>
        <v>66</v>
      </c>
    </row>
    <row r="89" spans="1:15">
      <c r="A89" s="3">
        <v>2019</v>
      </c>
      <c r="B89" s="4" t="s">
        <v>52</v>
      </c>
      <c r="C89" s="6">
        <v>2021</v>
      </c>
      <c r="D89" s="6">
        <v>2</v>
      </c>
      <c r="E89" s="4" t="s">
        <v>42</v>
      </c>
      <c r="F89" s="4"/>
      <c r="G89" s="4"/>
      <c r="H89" s="4"/>
      <c r="I89" s="4"/>
      <c r="K89" s="3">
        <v>2019</v>
      </c>
      <c r="L89" s="3" t="s">
        <v>38</v>
      </c>
      <c r="M89" s="4" t="s">
        <v>54</v>
      </c>
      <c r="N89" s="3">
        <f t="shared" si="6"/>
        <v>34</v>
      </c>
      <c r="O89" s="3">
        <f>SUM(E94:E97)</f>
        <v>34</v>
      </c>
    </row>
    <row r="90" spans="1:15">
      <c r="A90" s="3">
        <v>2019</v>
      </c>
      <c r="B90" s="4" t="s">
        <v>53</v>
      </c>
      <c r="C90" s="6">
        <v>2019</v>
      </c>
      <c r="D90" s="6">
        <v>361</v>
      </c>
      <c r="E90" s="6">
        <v>64</v>
      </c>
      <c r="F90" s="4"/>
      <c r="G90" s="4"/>
      <c r="H90" s="4"/>
      <c r="I90" s="4"/>
      <c r="K90" s="3">
        <v>2019</v>
      </c>
      <c r="L90" s="3" t="s">
        <v>38</v>
      </c>
      <c r="M90" s="4" t="s">
        <v>55</v>
      </c>
      <c r="N90" s="3">
        <f t="shared" si="6"/>
        <v>33</v>
      </c>
      <c r="O90" s="3">
        <f>SUM(E98:E101)</f>
        <v>33</v>
      </c>
    </row>
    <row r="91" spans="1:15">
      <c r="A91" s="3">
        <v>2019</v>
      </c>
      <c r="B91" s="4" t="s">
        <v>53</v>
      </c>
      <c r="C91" s="6">
        <v>2020</v>
      </c>
      <c r="D91" s="6">
        <v>3</v>
      </c>
      <c r="E91" s="6">
        <v>1</v>
      </c>
      <c r="F91" s="4"/>
      <c r="G91" s="4"/>
      <c r="H91" s="4"/>
      <c r="I91" s="4"/>
      <c r="K91" s="3">
        <v>2019</v>
      </c>
      <c r="L91" s="3" t="s">
        <v>38</v>
      </c>
      <c r="M91" s="4" t="s">
        <v>56</v>
      </c>
      <c r="N91" s="3">
        <f t="shared" si="6"/>
        <v>25</v>
      </c>
      <c r="O91" s="3">
        <f>SUM(E102:E105)</f>
        <v>25</v>
      </c>
    </row>
    <row r="92" spans="1:15">
      <c r="A92" s="3">
        <v>2019</v>
      </c>
      <c r="B92" s="4" t="s">
        <v>53</v>
      </c>
      <c r="C92" s="6">
        <v>2021</v>
      </c>
      <c r="D92" s="6">
        <v>3</v>
      </c>
      <c r="E92" s="6">
        <v>1</v>
      </c>
      <c r="F92" s="4"/>
      <c r="G92" s="4"/>
      <c r="H92" s="4"/>
      <c r="I92" s="4"/>
      <c r="K92" s="3">
        <v>2019</v>
      </c>
      <c r="L92" s="3" t="s">
        <v>38</v>
      </c>
      <c r="M92" s="4" t="s">
        <v>57</v>
      </c>
      <c r="N92" s="3">
        <f t="shared" si="6"/>
        <v>13</v>
      </c>
      <c r="O92" s="3">
        <f>SUM(E106:E109)</f>
        <v>13</v>
      </c>
    </row>
    <row r="93" spans="1:15">
      <c r="A93" s="3">
        <v>2019</v>
      </c>
      <c r="B93" s="4" t="s">
        <v>53</v>
      </c>
      <c r="C93" s="6">
        <v>2024</v>
      </c>
      <c r="D93" s="6">
        <v>1</v>
      </c>
      <c r="E93" s="4" t="s">
        <v>42</v>
      </c>
      <c r="F93" s="4"/>
      <c r="G93" s="4"/>
      <c r="H93" s="4"/>
      <c r="I93" s="4"/>
      <c r="K93" s="3">
        <v>2019</v>
      </c>
      <c r="L93" s="3" t="s">
        <v>38</v>
      </c>
      <c r="M93" s="4" t="s">
        <v>58</v>
      </c>
      <c r="N93" s="3">
        <f t="shared" si="6"/>
        <v>18</v>
      </c>
      <c r="O93" s="3">
        <f>SUM(E110:E111)</f>
        <v>18</v>
      </c>
    </row>
    <row r="94" spans="1:15">
      <c r="A94" s="3">
        <v>2019</v>
      </c>
      <c r="B94" s="4" t="s">
        <v>54</v>
      </c>
      <c r="C94" s="6">
        <v>2019</v>
      </c>
      <c r="D94" s="6">
        <v>334</v>
      </c>
      <c r="E94" s="6">
        <v>34</v>
      </c>
      <c r="F94" s="4"/>
      <c r="G94" s="4"/>
      <c r="H94" s="4"/>
      <c r="I94" s="4"/>
      <c r="K94" s="3">
        <v>2019</v>
      </c>
      <c r="L94" s="3" t="s">
        <v>38</v>
      </c>
      <c r="M94" s="4" t="s">
        <v>59</v>
      </c>
      <c r="N94" s="3">
        <f t="shared" si="6"/>
        <v>3</v>
      </c>
      <c r="O94" s="3">
        <f>E112</f>
        <v>3</v>
      </c>
    </row>
    <row r="95" spans="1:15">
      <c r="A95" s="3">
        <v>2019</v>
      </c>
      <c r="B95" s="4" t="s">
        <v>54</v>
      </c>
      <c r="C95" s="6">
        <v>2020</v>
      </c>
      <c r="D95" s="6">
        <v>4</v>
      </c>
      <c r="E95" s="4" t="s">
        <v>42</v>
      </c>
      <c r="F95" s="4"/>
      <c r="G95" s="4"/>
      <c r="H95" s="4"/>
      <c r="I95" s="4"/>
      <c r="K95" s="3">
        <v>2019</v>
      </c>
      <c r="L95" s="3" t="s">
        <v>38</v>
      </c>
      <c r="M95" s="4" t="s">
        <v>60</v>
      </c>
      <c r="N95" s="3">
        <f t="shared" si="6"/>
        <v>5</v>
      </c>
      <c r="O95" s="3">
        <f>SUM(E113:E114)</f>
        <v>5</v>
      </c>
    </row>
    <row r="96" spans="1:15">
      <c r="A96" s="3">
        <v>2019</v>
      </c>
      <c r="B96" s="4" t="s">
        <v>54</v>
      </c>
      <c r="C96" s="6">
        <v>2021</v>
      </c>
      <c r="D96" s="6">
        <v>1</v>
      </c>
      <c r="E96" s="4" t="s">
        <v>42</v>
      </c>
      <c r="F96" s="4"/>
      <c r="G96" s="4"/>
      <c r="H96" s="4"/>
      <c r="I96" s="4"/>
      <c r="K96" s="3">
        <v>2019</v>
      </c>
      <c r="L96" s="3" t="s">
        <v>38</v>
      </c>
      <c r="M96" s="4" t="s">
        <v>61</v>
      </c>
      <c r="N96" s="3">
        <f t="shared" si="6"/>
        <v>4</v>
      </c>
      <c r="O96" s="3">
        <f>E115</f>
        <v>4</v>
      </c>
    </row>
    <row r="97" spans="1:15">
      <c r="A97" s="3">
        <v>2019</v>
      </c>
      <c r="B97" s="4" t="s">
        <v>54</v>
      </c>
      <c r="C97" s="6">
        <v>2023</v>
      </c>
      <c r="D97" s="6">
        <v>2</v>
      </c>
      <c r="E97" s="4" t="s">
        <v>42</v>
      </c>
      <c r="F97" s="4"/>
      <c r="G97" s="4"/>
      <c r="H97" s="4"/>
      <c r="I97" s="4"/>
      <c r="K97" s="3">
        <v>2019</v>
      </c>
      <c r="L97" s="3" t="s">
        <v>38</v>
      </c>
      <c r="M97" s="4" t="s">
        <v>62</v>
      </c>
      <c r="N97" s="3">
        <f t="shared" si="6"/>
        <v>2</v>
      </c>
      <c r="O97" s="3">
        <f>SUM(E116:E117)</f>
        <v>2</v>
      </c>
    </row>
    <row r="98" spans="1:15">
      <c r="A98" s="3">
        <v>2019</v>
      </c>
      <c r="B98" s="4" t="s">
        <v>55</v>
      </c>
      <c r="C98" s="6">
        <v>2019</v>
      </c>
      <c r="D98" s="6">
        <v>308</v>
      </c>
      <c r="E98" s="6">
        <v>33</v>
      </c>
      <c r="F98" s="4"/>
      <c r="G98" s="4"/>
      <c r="H98" s="4"/>
      <c r="I98" s="4"/>
      <c r="K98" s="3">
        <v>2019</v>
      </c>
      <c r="L98" s="3" t="s">
        <v>38</v>
      </c>
      <c r="M98" s="4" t="s">
        <v>63</v>
      </c>
      <c r="N98" s="3">
        <f t="shared" si="6"/>
        <v>1</v>
      </c>
      <c r="O98" s="3">
        <f>E118</f>
        <v>1</v>
      </c>
    </row>
    <row r="99" spans="1:15">
      <c r="A99" s="3">
        <v>2019</v>
      </c>
      <c r="B99" s="4" t="s">
        <v>55</v>
      </c>
      <c r="C99" s="6">
        <v>2020</v>
      </c>
      <c r="D99" s="6">
        <v>4</v>
      </c>
      <c r="E99" s="4" t="s">
        <v>42</v>
      </c>
      <c r="F99" s="4"/>
      <c r="G99" s="4"/>
      <c r="H99" s="4"/>
      <c r="I99" s="4"/>
      <c r="K99" s="3">
        <v>2019</v>
      </c>
      <c r="L99" s="3" t="s">
        <v>38</v>
      </c>
      <c r="M99" s="4" t="s">
        <v>64</v>
      </c>
      <c r="N99" s="3">
        <f t="shared" si="6"/>
        <v>1</v>
      </c>
      <c r="O99" s="3">
        <f>E119</f>
        <v>1</v>
      </c>
    </row>
    <row r="100" spans="1:15">
      <c r="A100" s="3">
        <v>2019</v>
      </c>
      <c r="B100" s="4" t="s">
        <v>55</v>
      </c>
      <c r="C100" s="6">
        <v>2021</v>
      </c>
      <c r="D100" s="6">
        <v>1</v>
      </c>
      <c r="E100" s="4" t="s">
        <v>42</v>
      </c>
      <c r="F100" s="4"/>
      <c r="G100" s="4"/>
      <c r="H100" s="4"/>
      <c r="I100" s="4"/>
      <c r="K100" s="3">
        <v>2019</v>
      </c>
      <c r="L100" s="3" t="s">
        <v>38</v>
      </c>
      <c r="M100" s="4" t="s">
        <v>65</v>
      </c>
      <c r="N100" s="3">
        <f t="shared" si="6"/>
        <v>1</v>
      </c>
      <c r="O100" s="3">
        <f>E120</f>
        <v>1</v>
      </c>
    </row>
    <row r="101" spans="1:15">
      <c r="A101" s="3">
        <v>2019</v>
      </c>
      <c r="B101" s="4" t="s">
        <v>55</v>
      </c>
      <c r="C101" s="6">
        <v>2023</v>
      </c>
      <c r="D101" s="6">
        <v>1</v>
      </c>
      <c r="E101" s="4" t="s">
        <v>42</v>
      </c>
      <c r="F101" s="4"/>
      <c r="G101" s="4"/>
      <c r="H101" s="4"/>
      <c r="I101" s="4"/>
      <c r="K101" s="3">
        <v>2019</v>
      </c>
      <c r="L101" s="3" t="s">
        <v>38</v>
      </c>
      <c r="M101" s="4" t="s">
        <v>66</v>
      </c>
      <c r="N101" s="3">
        <f t="shared" si="6"/>
        <v>0</v>
      </c>
      <c r="O101" s="3">
        <v>0</v>
      </c>
    </row>
    <row r="102" spans="1:15">
      <c r="A102" s="3">
        <v>2019</v>
      </c>
      <c r="B102" s="4" t="s">
        <v>56</v>
      </c>
      <c r="C102" s="6">
        <v>2019</v>
      </c>
      <c r="D102" s="6">
        <v>253</v>
      </c>
      <c r="E102" s="6">
        <v>24</v>
      </c>
      <c r="F102" s="4"/>
      <c r="G102" s="4"/>
      <c r="H102" s="4"/>
      <c r="I102" s="4"/>
      <c r="K102" s="3">
        <v>2021</v>
      </c>
      <c r="L102" s="3" t="s">
        <v>38</v>
      </c>
      <c r="M102" s="4" t="s">
        <v>48</v>
      </c>
      <c r="N102" s="3">
        <f>O102+(O102/SUM($O$102:$O$120))*$O$4</f>
        <v>1.0629139072847682</v>
      </c>
      <c r="O102" s="3">
        <f>SUM(E127)</f>
        <v>1</v>
      </c>
    </row>
    <row r="103" spans="1:15">
      <c r="A103" s="3">
        <v>2019</v>
      </c>
      <c r="B103" s="4" t="s">
        <v>56</v>
      </c>
      <c r="C103" s="6">
        <v>2020</v>
      </c>
      <c r="D103" s="6">
        <v>1</v>
      </c>
      <c r="E103" s="4" t="s">
        <v>42</v>
      </c>
      <c r="F103" s="4"/>
      <c r="G103" s="4"/>
      <c r="H103" s="4"/>
      <c r="I103" s="4"/>
      <c r="K103" s="3">
        <v>2021</v>
      </c>
      <c r="L103" s="3" t="s">
        <v>38</v>
      </c>
      <c r="M103" s="4" t="s">
        <v>49</v>
      </c>
      <c r="N103" s="3">
        <f t="shared" ref="N103:N120" si="7">O103+(O103/SUM($O$102:$O$120))*$O$4</f>
        <v>2.1258278145695364</v>
      </c>
      <c r="O103" s="3">
        <f>E128</f>
        <v>2</v>
      </c>
    </row>
    <row r="104" spans="1:15">
      <c r="A104" s="3">
        <v>2019</v>
      </c>
      <c r="B104" s="4" t="s">
        <v>56</v>
      </c>
      <c r="C104" s="6">
        <v>2021</v>
      </c>
      <c r="D104" s="4" t="s">
        <v>42</v>
      </c>
      <c r="E104" s="6">
        <v>1</v>
      </c>
      <c r="F104" s="4"/>
      <c r="G104" s="4"/>
      <c r="H104" s="4"/>
      <c r="I104" s="4"/>
      <c r="K104" s="3">
        <v>2021</v>
      </c>
      <c r="L104" s="3" t="s">
        <v>38</v>
      </c>
      <c r="M104" s="4" t="s">
        <v>50</v>
      </c>
      <c r="N104" s="3">
        <f t="shared" si="7"/>
        <v>2.1258278145695364</v>
      </c>
      <c r="O104" s="3">
        <f>E129</f>
        <v>2</v>
      </c>
    </row>
    <row r="105" spans="1:15">
      <c r="A105" s="3">
        <v>2019</v>
      </c>
      <c r="B105" s="4" t="s">
        <v>56</v>
      </c>
      <c r="C105" s="6">
        <v>2022</v>
      </c>
      <c r="D105" s="6">
        <v>1</v>
      </c>
      <c r="E105" s="4" t="s">
        <v>42</v>
      </c>
      <c r="F105" s="4"/>
      <c r="G105" s="4"/>
      <c r="H105" s="4"/>
      <c r="I105" s="4"/>
      <c r="K105" s="3">
        <v>2021</v>
      </c>
      <c r="L105" s="3" t="s">
        <v>38</v>
      </c>
      <c r="M105" s="4" t="s">
        <v>51</v>
      </c>
      <c r="N105" s="3">
        <f t="shared" si="7"/>
        <v>4.2516556291390728</v>
      </c>
      <c r="O105" s="3">
        <f>E130</f>
        <v>4</v>
      </c>
    </row>
    <row r="106" spans="1:15">
      <c r="A106" s="3">
        <v>2019</v>
      </c>
      <c r="B106" s="4" t="s">
        <v>57</v>
      </c>
      <c r="C106" s="6">
        <v>2019</v>
      </c>
      <c r="D106" s="6">
        <v>225</v>
      </c>
      <c r="E106" s="6">
        <v>13</v>
      </c>
      <c r="F106" s="4"/>
      <c r="G106" s="4"/>
      <c r="H106" s="4"/>
      <c r="I106" s="4"/>
      <c r="K106" s="3">
        <v>2021</v>
      </c>
      <c r="L106" s="3" t="s">
        <v>38</v>
      </c>
      <c r="M106" s="4" t="s">
        <v>52</v>
      </c>
      <c r="N106" s="3">
        <f t="shared" si="7"/>
        <v>20.195364238410598</v>
      </c>
      <c r="O106" s="3">
        <f>SUM(E131:E132)</f>
        <v>19</v>
      </c>
    </row>
    <row r="107" spans="1:15">
      <c r="A107" s="3">
        <v>2019</v>
      </c>
      <c r="B107" s="4" t="s">
        <v>57</v>
      </c>
      <c r="C107" s="6">
        <v>2020</v>
      </c>
      <c r="D107" s="6">
        <v>1</v>
      </c>
      <c r="E107" s="4" t="s">
        <v>42</v>
      </c>
      <c r="F107" s="4"/>
      <c r="G107" s="4"/>
      <c r="H107" s="4"/>
      <c r="I107" s="4"/>
      <c r="K107" s="3">
        <v>2021</v>
      </c>
      <c r="L107" s="3" t="s">
        <v>38</v>
      </c>
      <c r="M107" s="4" t="s">
        <v>53</v>
      </c>
      <c r="N107" s="3">
        <f t="shared" si="7"/>
        <v>60.586092715231786</v>
      </c>
      <c r="O107" s="3">
        <f>SUM(E133:E135)</f>
        <v>57</v>
      </c>
    </row>
    <row r="108" spans="1:15">
      <c r="A108" s="3">
        <v>2019</v>
      </c>
      <c r="B108" s="4" t="s">
        <v>57</v>
      </c>
      <c r="C108" s="6">
        <v>2021</v>
      </c>
      <c r="D108" s="6">
        <v>1</v>
      </c>
      <c r="E108" s="4" t="s">
        <v>42</v>
      </c>
      <c r="F108" s="4"/>
      <c r="G108" s="4"/>
      <c r="H108" s="4"/>
      <c r="I108" s="4"/>
      <c r="K108" s="3">
        <v>2021</v>
      </c>
      <c r="L108" s="3" t="s">
        <v>38</v>
      </c>
      <c r="M108" s="4" t="s">
        <v>54</v>
      </c>
      <c r="N108" s="3">
        <f t="shared" si="7"/>
        <v>53.145695364238414</v>
      </c>
      <c r="O108" s="3">
        <f>SUM(E136:E138)</f>
        <v>50</v>
      </c>
    </row>
    <row r="109" spans="1:15">
      <c r="A109" s="3">
        <v>2019</v>
      </c>
      <c r="B109" s="4" t="s">
        <v>57</v>
      </c>
      <c r="C109" s="6">
        <v>2023</v>
      </c>
      <c r="D109" s="6">
        <v>1</v>
      </c>
      <c r="E109" s="4" t="s">
        <v>42</v>
      </c>
      <c r="F109" s="4"/>
      <c r="G109" s="4"/>
      <c r="H109" s="4"/>
      <c r="I109" s="4"/>
      <c r="K109" s="3">
        <v>2021</v>
      </c>
      <c r="L109" s="3" t="s">
        <v>38</v>
      </c>
      <c r="M109" s="4" t="s">
        <v>55</v>
      </c>
      <c r="N109" s="3">
        <f t="shared" si="7"/>
        <v>60.586092715231786</v>
      </c>
      <c r="O109" s="3">
        <f>SUM(E139:E140)</f>
        <v>57</v>
      </c>
    </row>
    <row r="110" spans="1:15">
      <c r="A110" s="3">
        <v>2019</v>
      </c>
      <c r="B110" s="4" t="s">
        <v>58</v>
      </c>
      <c r="C110" s="6">
        <v>2019</v>
      </c>
      <c r="D110" s="6">
        <v>147</v>
      </c>
      <c r="E110" s="6">
        <v>18</v>
      </c>
      <c r="F110" s="4"/>
      <c r="G110" s="4"/>
      <c r="H110" s="4"/>
      <c r="I110" s="4"/>
      <c r="K110" s="3">
        <v>2021</v>
      </c>
      <c r="L110" s="3" t="s">
        <v>38</v>
      </c>
      <c r="M110" s="4" t="s">
        <v>56</v>
      </c>
      <c r="N110" s="3">
        <f t="shared" si="7"/>
        <v>45.705298013245034</v>
      </c>
      <c r="O110" s="3">
        <f>SUM(E141:E143)</f>
        <v>43</v>
      </c>
    </row>
    <row r="111" spans="1:15">
      <c r="A111" s="3">
        <v>2019</v>
      </c>
      <c r="B111" s="4" t="s">
        <v>58</v>
      </c>
      <c r="C111" s="6">
        <v>2020</v>
      </c>
      <c r="D111" s="6">
        <v>1</v>
      </c>
      <c r="E111" s="4" t="s">
        <v>42</v>
      </c>
      <c r="F111" s="4"/>
      <c r="G111" s="4"/>
      <c r="H111" s="4"/>
      <c r="I111" s="4"/>
      <c r="K111" s="3">
        <v>2021</v>
      </c>
      <c r="L111" s="3" t="s">
        <v>38</v>
      </c>
      <c r="M111" s="4" t="s">
        <v>57</v>
      </c>
      <c r="N111" s="3">
        <f t="shared" si="7"/>
        <v>24.44701986754967</v>
      </c>
      <c r="O111" s="3">
        <f>SUM(E144:E146)</f>
        <v>23</v>
      </c>
    </row>
    <row r="112" spans="1:15">
      <c r="A112" s="3">
        <v>2019</v>
      </c>
      <c r="B112" s="4" t="s">
        <v>59</v>
      </c>
      <c r="C112" s="6">
        <v>2019</v>
      </c>
      <c r="D112" s="6">
        <v>96</v>
      </c>
      <c r="E112" s="6">
        <v>3</v>
      </c>
      <c r="F112" s="4"/>
      <c r="G112" s="4"/>
      <c r="H112" s="4"/>
      <c r="I112" s="4"/>
      <c r="K112" s="3">
        <v>2021</v>
      </c>
      <c r="L112" s="3" t="s">
        <v>38</v>
      </c>
      <c r="M112" s="4" t="s">
        <v>58</v>
      </c>
      <c r="N112" s="3">
        <f t="shared" si="7"/>
        <v>17.006622516556291</v>
      </c>
      <c r="O112" s="3">
        <f>SUM(E147:E148)</f>
        <v>16</v>
      </c>
    </row>
    <row r="113" spans="1:15">
      <c r="A113" s="3">
        <v>2019</v>
      </c>
      <c r="B113" s="4" t="s">
        <v>60</v>
      </c>
      <c r="C113" s="6">
        <v>2019</v>
      </c>
      <c r="D113" s="6">
        <v>43</v>
      </c>
      <c r="E113" s="6">
        <v>5</v>
      </c>
      <c r="F113" s="4"/>
      <c r="G113" s="4"/>
      <c r="H113" s="4"/>
      <c r="I113" s="4"/>
      <c r="K113" s="3">
        <v>2021</v>
      </c>
      <c r="L113" s="3" t="s">
        <v>38</v>
      </c>
      <c r="M113" s="4" t="s">
        <v>59</v>
      </c>
      <c r="N113" s="3">
        <f t="shared" si="7"/>
        <v>14.880794701986755</v>
      </c>
      <c r="O113" s="3">
        <f t="shared" ref="O113:O118" si="8">E149</f>
        <v>14</v>
      </c>
    </row>
    <row r="114" spans="1:15">
      <c r="A114" s="3">
        <v>2019</v>
      </c>
      <c r="B114" s="4" t="s">
        <v>60</v>
      </c>
      <c r="C114" s="6">
        <v>2020</v>
      </c>
      <c r="D114" s="6">
        <v>1</v>
      </c>
      <c r="E114" s="4" t="s">
        <v>42</v>
      </c>
      <c r="F114" s="4"/>
      <c r="G114" s="4"/>
      <c r="H114" s="4"/>
      <c r="I114" s="4"/>
      <c r="K114" s="3">
        <v>2021</v>
      </c>
      <c r="L114" s="3" t="s">
        <v>38</v>
      </c>
      <c r="M114" s="4" t="s">
        <v>60</v>
      </c>
      <c r="N114" s="3">
        <f t="shared" si="7"/>
        <v>4.2516556291390728</v>
      </c>
      <c r="O114" s="3">
        <f t="shared" si="8"/>
        <v>4</v>
      </c>
    </row>
    <row r="115" spans="1:15">
      <c r="A115" s="3">
        <v>2019</v>
      </c>
      <c r="B115" s="4" t="s">
        <v>61</v>
      </c>
      <c r="C115" s="6">
        <v>2019</v>
      </c>
      <c r="D115" s="6">
        <v>29</v>
      </c>
      <c r="E115" s="6">
        <v>4</v>
      </c>
      <c r="F115" s="4"/>
      <c r="G115" s="4"/>
      <c r="H115" s="4"/>
      <c r="I115" s="4"/>
      <c r="K115" s="3">
        <v>2021</v>
      </c>
      <c r="L115" s="3" t="s">
        <v>38</v>
      </c>
      <c r="M115" s="4" t="s">
        <v>61</v>
      </c>
      <c r="N115" s="3">
        <f t="shared" si="7"/>
        <v>3.1887417218543046</v>
      </c>
      <c r="O115" s="3">
        <f t="shared" si="8"/>
        <v>3</v>
      </c>
    </row>
    <row r="116" spans="1:15">
      <c r="A116" s="3">
        <v>2019</v>
      </c>
      <c r="B116" s="4" t="s">
        <v>62</v>
      </c>
      <c r="C116" s="6">
        <v>2019</v>
      </c>
      <c r="D116" s="6">
        <v>14</v>
      </c>
      <c r="E116" s="6">
        <v>2</v>
      </c>
      <c r="F116" s="4"/>
      <c r="G116" s="4"/>
      <c r="H116" s="4"/>
      <c r="I116" s="4"/>
      <c r="K116" s="3">
        <v>2021</v>
      </c>
      <c r="L116" s="3" t="s">
        <v>38</v>
      </c>
      <c r="M116" s="4" t="s">
        <v>62</v>
      </c>
      <c r="N116" s="3">
        <f t="shared" si="7"/>
        <v>2.1258278145695364</v>
      </c>
      <c r="O116" s="3">
        <f t="shared" si="8"/>
        <v>2</v>
      </c>
    </row>
    <row r="117" spans="1:15">
      <c r="A117" s="3">
        <v>2019</v>
      </c>
      <c r="B117" s="4" t="s">
        <v>62</v>
      </c>
      <c r="C117" s="6">
        <v>2020</v>
      </c>
      <c r="D117" s="6">
        <v>2</v>
      </c>
      <c r="E117" s="4" t="s">
        <v>42</v>
      </c>
      <c r="F117" s="4"/>
      <c r="G117" s="4"/>
      <c r="H117" s="4"/>
      <c r="I117" s="4"/>
      <c r="K117" s="3">
        <v>2021</v>
      </c>
      <c r="L117" s="3" t="s">
        <v>38</v>
      </c>
      <c r="M117" s="4" t="s">
        <v>63</v>
      </c>
      <c r="N117" s="3">
        <f t="shared" si="7"/>
        <v>2.1258278145695364</v>
      </c>
      <c r="O117" s="3">
        <f t="shared" si="8"/>
        <v>2</v>
      </c>
    </row>
    <row r="118" spans="1:15">
      <c r="A118" s="3">
        <v>2019</v>
      </c>
      <c r="B118" s="4" t="s">
        <v>63</v>
      </c>
      <c r="C118" s="6">
        <v>2019</v>
      </c>
      <c r="D118" s="6">
        <v>8</v>
      </c>
      <c r="E118" s="6">
        <v>1</v>
      </c>
      <c r="F118" s="4"/>
      <c r="G118" s="4"/>
      <c r="H118" s="4"/>
      <c r="I118" s="4"/>
      <c r="K118" s="3">
        <v>2021</v>
      </c>
      <c r="L118" s="3" t="s">
        <v>38</v>
      </c>
      <c r="M118" s="4" t="s">
        <v>64</v>
      </c>
      <c r="N118" s="3">
        <f t="shared" si="7"/>
        <v>2.1258278145695364</v>
      </c>
      <c r="O118" s="3">
        <f t="shared" si="8"/>
        <v>2</v>
      </c>
    </row>
    <row r="119" spans="1:15">
      <c r="A119" s="3">
        <v>2019</v>
      </c>
      <c r="B119" s="4" t="s">
        <v>64</v>
      </c>
      <c r="C119" s="6">
        <v>2019</v>
      </c>
      <c r="D119" s="6">
        <v>6</v>
      </c>
      <c r="E119" s="6">
        <v>1</v>
      </c>
      <c r="F119" s="4"/>
      <c r="G119" s="4"/>
      <c r="H119" s="4"/>
      <c r="I119" s="4"/>
      <c r="K119" s="3">
        <v>2021</v>
      </c>
      <c r="L119" s="3" t="s">
        <v>38</v>
      </c>
      <c r="M119" s="4" t="s">
        <v>65</v>
      </c>
      <c r="N119" s="3">
        <f t="shared" si="7"/>
        <v>0</v>
      </c>
      <c r="O119" s="3">
        <v>0</v>
      </c>
    </row>
    <row r="120" spans="1:15">
      <c r="A120" s="3">
        <v>2019</v>
      </c>
      <c r="B120" s="4" t="s">
        <v>65</v>
      </c>
      <c r="C120" s="6">
        <v>2019</v>
      </c>
      <c r="D120" s="6">
        <v>2</v>
      </c>
      <c r="E120" s="6">
        <v>1</v>
      </c>
      <c r="F120" s="4"/>
      <c r="G120" s="4"/>
      <c r="H120" s="4"/>
      <c r="I120" s="4"/>
      <c r="K120" s="3">
        <v>2021</v>
      </c>
      <c r="L120" s="3" t="s">
        <v>38</v>
      </c>
      <c r="M120" s="4" t="s">
        <v>66</v>
      </c>
      <c r="N120" s="3">
        <f t="shared" si="7"/>
        <v>1.0629139072847682</v>
      </c>
      <c r="O120" s="3">
        <f>E156</f>
        <v>1</v>
      </c>
    </row>
    <row r="121" spans="1:15">
      <c r="A121" s="3">
        <v>2019</v>
      </c>
      <c r="B121" s="4" t="s">
        <v>66</v>
      </c>
      <c r="C121" s="6">
        <v>2019</v>
      </c>
      <c r="D121" s="6">
        <v>1</v>
      </c>
      <c r="E121" s="4" t="s">
        <v>42</v>
      </c>
      <c r="F121" s="4"/>
      <c r="G121" s="4"/>
      <c r="H121" s="4"/>
      <c r="I121" s="4"/>
    </row>
    <row r="122" spans="1:15">
      <c r="A122" s="3">
        <v>2019</v>
      </c>
      <c r="B122" s="4" t="s">
        <v>41</v>
      </c>
      <c r="C122" s="6">
        <v>2019</v>
      </c>
      <c r="D122" s="6">
        <v>2</v>
      </c>
      <c r="E122" s="4" t="s">
        <v>42</v>
      </c>
      <c r="F122" s="4"/>
      <c r="G122" s="4"/>
      <c r="H122" s="4"/>
      <c r="I122" s="4"/>
    </row>
    <row r="123" spans="1:15">
      <c r="A123" s="3">
        <v>2021</v>
      </c>
      <c r="B123" s="4" t="s">
        <v>47</v>
      </c>
      <c r="C123" s="6">
        <v>2021</v>
      </c>
      <c r="D123" s="7">
        <v>2235</v>
      </c>
      <c r="E123" s="6">
        <v>320</v>
      </c>
      <c r="F123" s="4"/>
      <c r="G123" s="4"/>
      <c r="H123" s="4"/>
      <c r="I123" s="4"/>
    </row>
    <row r="124" spans="1:15">
      <c r="A124" s="3">
        <v>2021</v>
      </c>
      <c r="B124" s="4" t="s">
        <v>47</v>
      </c>
      <c r="C124" s="6">
        <v>2022</v>
      </c>
      <c r="D124" s="6">
        <v>10</v>
      </c>
      <c r="E124" s="6">
        <v>1</v>
      </c>
      <c r="F124" s="4"/>
      <c r="G124" s="4"/>
      <c r="H124" s="4"/>
      <c r="I124" s="4"/>
    </row>
    <row r="125" spans="1:15">
      <c r="A125" s="3">
        <v>2021</v>
      </c>
      <c r="B125" s="4" t="s">
        <v>47</v>
      </c>
      <c r="C125" s="6">
        <v>2023</v>
      </c>
      <c r="D125" s="6">
        <v>10</v>
      </c>
      <c r="E125" s="4" t="s">
        <v>42</v>
      </c>
      <c r="F125" s="4"/>
      <c r="G125" s="4"/>
      <c r="H125" s="4"/>
      <c r="I125" s="4"/>
    </row>
    <row r="126" spans="1:15">
      <c r="A126" s="3">
        <v>2021</v>
      </c>
      <c r="B126" s="4" t="s">
        <v>47</v>
      </c>
      <c r="C126" s="6">
        <v>2024</v>
      </c>
      <c r="D126" s="6">
        <v>1</v>
      </c>
      <c r="E126" s="4" t="s">
        <v>42</v>
      </c>
      <c r="F126" s="4"/>
      <c r="G126" s="4"/>
      <c r="H126" s="4"/>
      <c r="I126" s="4"/>
    </row>
    <row r="127" spans="1:15">
      <c r="A127" s="3">
        <v>2021</v>
      </c>
      <c r="B127" s="4" t="s">
        <v>48</v>
      </c>
      <c r="C127" s="6">
        <v>2021</v>
      </c>
      <c r="D127" s="6">
        <v>1</v>
      </c>
      <c r="E127" s="6">
        <v>1</v>
      </c>
      <c r="F127" s="4"/>
      <c r="G127" s="4"/>
      <c r="H127" s="4"/>
      <c r="I127" s="4"/>
    </row>
    <row r="128" spans="1:15">
      <c r="A128" s="3">
        <v>2021</v>
      </c>
      <c r="B128" s="4" t="s">
        <v>49</v>
      </c>
      <c r="C128" s="6">
        <v>2021</v>
      </c>
      <c r="D128" s="6">
        <v>2</v>
      </c>
      <c r="E128" s="6">
        <v>2</v>
      </c>
      <c r="F128" s="4"/>
      <c r="G128" s="4"/>
      <c r="H128" s="4"/>
      <c r="I128" s="4"/>
    </row>
    <row r="129" spans="1:9">
      <c r="A129" s="3">
        <v>2021</v>
      </c>
      <c r="B129" s="4" t="s">
        <v>50</v>
      </c>
      <c r="C129" s="6">
        <v>2021</v>
      </c>
      <c r="D129" s="6">
        <v>3</v>
      </c>
      <c r="E129" s="6">
        <v>2</v>
      </c>
      <c r="F129" s="4"/>
      <c r="G129" s="4"/>
      <c r="H129" s="4"/>
      <c r="I129" s="4"/>
    </row>
    <row r="130" spans="1:9">
      <c r="A130" s="3">
        <v>2021</v>
      </c>
      <c r="B130" s="4" t="s">
        <v>51</v>
      </c>
      <c r="C130" s="6">
        <v>2021</v>
      </c>
      <c r="D130" s="6">
        <v>8</v>
      </c>
      <c r="E130" s="6">
        <v>4</v>
      </c>
      <c r="F130" s="4"/>
      <c r="G130" s="4"/>
      <c r="H130" s="4"/>
      <c r="I130" s="4"/>
    </row>
    <row r="131" spans="1:9">
      <c r="A131" s="3">
        <v>2021</v>
      </c>
      <c r="B131" s="4" t="s">
        <v>52</v>
      </c>
      <c r="C131" s="6">
        <v>2021</v>
      </c>
      <c r="D131" s="6">
        <v>155</v>
      </c>
      <c r="E131" s="6">
        <v>18</v>
      </c>
      <c r="F131" s="4"/>
      <c r="G131" s="4"/>
      <c r="H131" s="4"/>
      <c r="I131" s="4"/>
    </row>
    <row r="132" spans="1:9">
      <c r="A132" s="3">
        <v>2021</v>
      </c>
      <c r="B132" s="4" t="s">
        <v>52</v>
      </c>
      <c r="C132" s="6">
        <v>2022</v>
      </c>
      <c r="D132" s="4" t="s">
        <v>42</v>
      </c>
      <c r="E132" s="6">
        <v>1</v>
      </c>
      <c r="F132" s="4"/>
      <c r="G132" s="4"/>
      <c r="H132" s="4"/>
      <c r="I132" s="4"/>
    </row>
    <row r="133" spans="1:9">
      <c r="A133" s="3">
        <v>2021</v>
      </c>
      <c r="B133" s="4" t="s">
        <v>53</v>
      </c>
      <c r="C133" s="6">
        <v>2021</v>
      </c>
      <c r="D133" s="6">
        <v>317</v>
      </c>
      <c r="E133" s="6">
        <v>57</v>
      </c>
      <c r="F133" s="4"/>
      <c r="G133" s="4"/>
      <c r="H133" s="4"/>
      <c r="I133" s="4"/>
    </row>
    <row r="134" spans="1:9">
      <c r="A134" s="3">
        <v>2021</v>
      </c>
      <c r="B134" s="4" t="s">
        <v>53</v>
      </c>
      <c r="C134" s="6">
        <v>2022</v>
      </c>
      <c r="D134" s="6">
        <v>1</v>
      </c>
      <c r="E134" s="4" t="s">
        <v>42</v>
      </c>
      <c r="F134" s="4"/>
      <c r="G134" s="4"/>
      <c r="H134" s="4"/>
      <c r="I134" s="4"/>
    </row>
    <row r="135" spans="1:9">
      <c r="A135" s="3">
        <v>2021</v>
      </c>
      <c r="B135" s="4" t="s">
        <v>53</v>
      </c>
      <c r="C135" s="6">
        <v>2023</v>
      </c>
      <c r="D135" s="6">
        <v>4</v>
      </c>
      <c r="E135" s="4" t="s">
        <v>42</v>
      </c>
      <c r="F135" s="4"/>
      <c r="G135" s="4"/>
      <c r="H135" s="4"/>
      <c r="I135" s="4"/>
    </row>
    <row r="136" spans="1:9">
      <c r="A136" s="3">
        <v>2021</v>
      </c>
      <c r="B136" s="4" t="s">
        <v>54</v>
      </c>
      <c r="C136" s="6">
        <v>2021</v>
      </c>
      <c r="D136" s="6">
        <v>354</v>
      </c>
      <c r="E136" s="6">
        <v>50</v>
      </c>
      <c r="F136" s="4"/>
      <c r="G136" s="4"/>
      <c r="H136" s="4"/>
      <c r="I136" s="4"/>
    </row>
    <row r="137" spans="1:9">
      <c r="A137" s="3">
        <v>2021</v>
      </c>
      <c r="B137" s="4" t="s">
        <v>54</v>
      </c>
      <c r="C137" s="6">
        <v>2022</v>
      </c>
      <c r="D137" s="6">
        <v>3</v>
      </c>
      <c r="E137" s="4" t="s">
        <v>42</v>
      </c>
      <c r="F137" s="4"/>
      <c r="G137" s="4"/>
      <c r="H137" s="4"/>
      <c r="I137" s="4"/>
    </row>
    <row r="138" spans="1:9">
      <c r="A138" s="3">
        <v>2021</v>
      </c>
      <c r="B138" s="4" t="s">
        <v>54</v>
      </c>
      <c r="C138" s="6">
        <v>2023</v>
      </c>
      <c r="D138" s="6">
        <v>1</v>
      </c>
      <c r="E138" s="4" t="s">
        <v>42</v>
      </c>
      <c r="F138" s="4"/>
      <c r="G138" s="4"/>
      <c r="H138" s="4"/>
      <c r="I138" s="4"/>
    </row>
    <row r="139" spans="1:9">
      <c r="A139" s="3">
        <v>2021</v>
      </c>
      <c r="B139" s="4" t="s">
        <v>55</v>
      </c>
      <c r="C139" s="6">
        <v>2021</v>
      </c>
      <c r="D139" s="6">
        <v>342</v>
      </c>
      <c r="E139" s="6">
        <v>57</v>
      </c>
      <c r="F139" s="4"/>
      <c r="G139" s="4"/>
      <c r="H139" s="4"/>
      <c r="I139" s="4"/>
    </row>
    <row r="140" spans="1:9">
      <c r="A140" s="3">
        <v>2021</v>
      </c>
      <c r="B140" s="4" t="s">
        <v>55</v>
      </c>
      <c r="C140" s="6">
        <v>2023</v>
      </c>
      <c r="D140" s="6">
        <v>1</v>
      </c>
      <c r="E140" s="4" t="s">
        <v>42</v>
      </c>
      <c r="F140" s="4"/>
      <c r="G140" s="4"/>
      <c r="H140" s="4"/>
      <c r="I140" s="4"/>
    </row>
    <row r="141" spans="1:9">
      <c r="A141" s="3">
        <v>2021</v>
      </c>
      <c r="B141" s="4" t="s">
        <v>56</v>
      </c>
      <c r="C141" s="6">
        <v>2021</v>
      </c>
      <c r="D141" s="6">
        <v>286</v>
      </c>
      <c r="E141" s="6">
        <v>43</v>
      </c>
      <c r="F141" s="4"/>
      <c r="G141" s="4"/>
      <c r="H141" s="4"/>
      <c r="I141" s="4"/>
    </row>
    <row r="142" spans="1:9">
      <c r="A142" s="3">
        <v>2021</v>
      </c>
      <c r="B142" s="4" t="s">
        <v>56</v>
      </c>
      <c r="C142" s="6">
        <v>2023</v>
      </c>
      <c r="D142" s="6">
        <v>3</v>
      </c>
      <c r="E142" s="4" t="s">
        <v>42</v>
      </c>
      <c r="F142" s="4"/>
      <c r="G142" s="4"/>
      <c r="H142" s="4"/>
      <c r="I142" s="4"/>
    </row>
    <row r="143" spans="1:9">
      <c r="A143" s="3">
        <v>2021</v>
      </c>
      <c r="B143" s="4" t="s">
        <v>56</v>
      </c>
      <c r="C143" s="6">
        <v>2024</v>
      </c>
      <c r="D143" s="6">
        <v>1</v>
      </c>
      <c r="E143" s="4" t="s">
        <v>42</v>
      </c>
      <c r="F143" s="4"/>
      <c r="G143" s="4"/>
      <c r="H143" s="4"/>
      <c r="I143" s="4"/>
    </row>
    <row r="144" spans="1:9">
      <c r="A144" s="3">
        <v>2021</v>
      </c>
      <c r="B144" s="4" t="s">
        <v>57</v>
      </c>
      <c r="C144" s="6">
        <v>2021</v>
      </c>
      <c r="D144" s="6">
        <v>240</v>
      </c>
      <c r="E144" s="6">
        <v>23</v>
      </c>
      <c r="F144" s="4"/>
      <c r="G144" s="4"/>
      <c r="H144" s="4"/>
      <c r="I144" s="4"/>
    </row>
    <row r="145" spans="1:9">
      <c r="A145" s="3">
        <v>2021</v>
      </c>
      <c r="B145" s="4" t="s">
        <v>57</v>
      </c>
      <c r="C145" s="6">
        <v>2022</v>
      </c>
      <c r="D145" s="6">
        <v>4</v>
      </c>
      <c r="E145" s="4" t="s">
        <v>42</v>
      </c>
      <c r="F145" s="4"/>
      <c r="G145" s="4"/>
      <c r="H145" s="4"/>
      <c r="I145" s="4"/>
    </row>
    <row r="146" spans="1:9">
      <c r="A146" s="3">
        <v>2021</v>
      </c>
      <c r="B146" s="4" t="s">
        <v>57</v>
      </c>
      <c r="C146" s="6">
        <v>2023</v>
      </c>
      <c r="D146" s="6">
        <v>1</v>
      </c>
      <c r="E146" s="4" t="s">
        <v>42</v>
      </c>
      <c r="F146" s="4"/>
      <c r="G146" s="4"/>
      <c r="H146" s="4"/>
      <c r="I146" s="4"/>
    </row>
    <row r="147" spans="1:9">
      <c r="A147" s="3">
        <v>2021</v>
      </c>
      <c r="B147" s="4" t="s">
        <v>58</v>
      </c>
      <c r="C147" s="6">
        <v>2021</v>
      </c>
      <c r="D147" s="6">
        <v>169</v>
      </c>
      <c r="E147" s="6">
        <v>16</v>
      </c>
      <c r="F147" s="4"/>
      <c r="G147" s="4"/>
      <c r="H147" s="4"/>
      <c r="I147" s="4"/>
    </row>
    <row r="148" spans="1:9">
      <c r="A148" s="3">
        <v>2021</v>
      </c>
      <c r="B148" s="4" t="s">
        <v>58</v>
      </c>
      <c r="C148" s="6">
        <v>2022</v>
      </c>
      <c r="D148" s="6">
        <v>2</v>
      </c>
      <c r="E148" s="4" t="s">
        <v>42</v>
      </c>
      <c r="F148" s="4"/>
      <c r="G148" s="4"/>
      <c r="H148" s="4"/>
      <c r="I148" s="4"/>
    </row>
    <row r="149" spans="1:9">
      <c r="A149" s="3">
        <v>2021</v>
      </c>
      <c r="B149" s="4" t="s">
        <v>59</v>
      </c>
      <c r="C149" s="6">
        <v>2021</v>
      </c>
      <c r="D149" s="6">
        <v>103</v>
      </c>
      <c r="E149" s="6">
        <v>14</v>
      </c>
      <c r="F149" s="4"/>
      <c r="G149" s="4"/>
      <c r="H149" s="4"/>
      <c r="I149" s="4"/>
    </row>
    <row r="150" spans="1:9">
      <c r="A150" s="3">
        <v>2021</v>
      </c>
      <c r="B150" s="4" t="s">
        <v>60</v>
      </c>
      <c r="C150" s="6">
        <v>2021</v>
      </c>
      <c r="D150" s="6">
        <v>61</v>
      </c>
      <c r="E150" s="6">
        <v>4</v>
      </c>
      <c r="F150" s="4"/>
      <c r="G150" s="4"/>
      <c r="H150" s="4"/>
      <c r="I150" s="4"/>
    </row>
    <row r="151" spans="1:9">
      <c r="A151" s="3">
        <v>2021</v>
      </c>
      <c r="B151" s="4" t="s">
        <v>61</v>
      </c>
      <c r="C151" s="6">
        <v>2021</v>
      </c>
      <c r="D151" s="6">
        <v>31</v>
      </c>
      <c r="E151" s="6">
        <v>3</v>
      </c>
      <c r="F151" s="4"/>
      <c r="G151" s="4"/>
      <c r="H151" s="4"/>
      <c r="I151" s="4"/>
    </row>
    <row r="152" spans="1:9">
      <c r="A152" s="3">
        <v>2021</v>
      </c>
      <c r="B152" s="4" t="s">
        <v>62</v>
      </c>
      <c r="C152" s="6">
        <v>2021</v>
      </c>
      <c r="D152" s="6">
        <v>21</v>
      </c>
      <c r="E152" s="6">
        <v>2</v>
      </c>
      <c r="F152" s="4"/>
      <c r="G152" s="4"/>
      <c r="H152" s="4"/>
      <c r="I152" s="4"/>
    </row>
    <row r="153" spans="1:9">
      <c r="A153" s="3">
        <v>2021</v>
      </c>
      <c r="B153" s="4" t="s">
        <v>63</v>
      </c>
      <c r="C153" s="6">
        <v>2021</v>
      </c>
      <c r="D153" s="6">
        <v>16</v>
      </c>
      <c r="E153" s="6">
        <v>2</v>
      </c>
      <c r="F153" s="4"/>
      <c r="G153" s="4"/>
      <c r="H153" s="4"/>
      <c r="I153" s="4"/>
    </row>
    <row r="154" spans="1:9">
      <c r="A154" s="3">
        <v>2021</v>
      </c>
      <c r="B154" s="4" t="s">
        <v>64</v>
      </c>
      <c r="C154" s="6">
        <v>2021</v>
      </c>
      <c r="D154" s="6">
        <v>6</v>
      </c>
      <c r="E154" s="6">
        <v>2</v>
      </c>
      <c r="F154" s="4"/>
      <c r="G154" s="4"/>
      <c r="H154" s="4"/>
      <c r="I154" s="4"/>
    </row>
    <row r="155" spans="1:9">
      <c r="A155" s="3">
        <v>2021</v>
      </c>
      <c r="B155" s="4" t="s">
        <v>65</v>
      </c>
      <c r="C155" s="6">
        <v>2021</v>
      </c>
      <c r="D155" s="6">
        <v>1</v>
      </c>
      <c r="E155" s="4" t="s">
        <v>42</v>
      </c>
      <c r="F155" s="4"/>
      <c r="G155" s="4"/>
      <c r="H155" s="4"/>
      <c r="I155" s="4"/>
    </row>
    <row r="156" spans="1:9">
      <c r="A156" s="3">
        <v>2021</v>
      </c>
      <c r="B156" s="4" t="s">
        <v>66</v>
      </c>
      <c r="C156" s="6">
        <v>2021</v>
      </c>
      <c r="D156" s="6">
        <v>1</v>
      </c>
      <c r="E156" s="6">
        <v>1</v>
      </c>
      <c r="F156" s="4"/>
      <c r="G156" s="4"/>
      <c r="H156" s="4"/>
      <c r="I156" s="4"/>
    </row>
    <row r="157" spans="1:9">
      <c r="A157" s="3">
        <v>2021</v>
      </c>
      <c r="B157" s="4" t="s">
        <v>41</v>
      </c>
      <c r="C157" s="6">
        <v>2021</v>
      </c>
      <c r="D157" s="6">
        <v>118</v>
      </c>
      <c r="E157" s="6">
        <v>19</v>
      </c>
      <c r="F157" s="4"/>
      <c r="G157" s="4"/>
      <c r="H157" s="4"/>
      <c r="I157" s="4"/>
    </row>
    <row r="158" spans="1:9">
      <c r="B158" s="4"/>
      <c r="C158" s="4"/>
      <c r="D158" s="4"/>
      <c r="E158" s="4"/>
      <c r="F158" s="4"/>
      <c r="G158" s="4"/>
      <c r="H158" s="4"/>
      <c r="I158" s="4"/>
    </row>
    <row r="159" spans="1:9">
      <c r="B159" s="4"/>
      <c r="C159" s="4"/>
      <c r="D159" s="4"/>
      <c r="E159" s="4"/>
      <c r="F159" s="4"/>
      <c r="G159" s="4"/>
      <c r="H159" s="4"/>
      <c r="I159" s="4"/>
    </row>
    <row r="160" spans="1:9">
      <c r="B160" s="4"/>
      <c r="C160" s="4"/>
      <c r="D160" s="4"/>
      <c r="E160" s="4"/>
      <c r="F160" s="4"/>
      <c r="G160" s="4"/>
      <c r="H160" s="4"/>
      <c r="I160" s="4"/>
    </row>
    <row r="161" spans="1:9">
      <c r="A161" s="3" t="s">
        <v>67</v>
      </c>
      <c r="B161" s="4"/>
      <c r="C161" s="4"/>
      <c r="D161" s="4"/>
      <c r="E161" s="4"/>
      <c r="F161" s="4"/>
      <c r="G161" s="4"/>
      <c r="H161" s="4"/>
      <c r="I161" s="4"/>
    </row>
    <row r="162" spans="1:9">
      <c r="B162" s="4"/>
      <c r="C162" s="4"/>
      <c r="D162" s="4"/>
      <c r="E162" s="4"/>
      <c r="F162" s="4"/>
      <c r="G162" s="4"/>
      <c r="H162" s="4"/>
      <c r="I16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DM_2019</vt:lpstr>
      <vt:lpstr>DM_2010</vt:lpstr>
      <vt:lpstr>DM_2021</vt:lpstr>
      <vt:lpstr>tabla_mortalidad_hombre_2010</vt:lpstr>
      <vt:lpstr>tabla_mortalidad_mujer_2010</vt:lpstr>
      <vt:lpstr>tabla_mortalidad_hombre_2019</vt:lpstr>
      <vt:lpstr>tabla_mortalidad_mujer_2019</vt:lpstr>
      <vt:lpstr>tabla_mortalidad_hombre_2021</vt:lpstr>
      <vt:lpstr>tabla_mortalidad_mujer_2021</vt:lpstr>
      <vt:lpstr>Defunciones generales</vt:lpstr>
      <vt:lpstr>Homicidios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Hernández Leyva</dc:creator>
  <cp:lastModifiedBy>Maria Isabel Hernández Leyva</cp:lastModifiedBy>
  <dcterms:created xsi:type="dcterms:W3CDTF">2026-06-04T03:59:39Z</dcterms:created>
  <dcterms:modified xsi:type="dcterms:W3CDTF">2026-06-04T09:45:57Z</dcterms:modified>
</cp:coreProperties>
</file>